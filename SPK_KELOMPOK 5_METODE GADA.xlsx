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31c0bed02550e80/Documents/"/>
    </mc:Choice>
  </mc:AlternateContent>
  <xr:revisionPtr revIDLastSave="3" documentId="8_{F04F6C39-19AB-4136-828E-0F35AD59B2D9}" xr6:coauthVersionLast="47" xr6:coauthVersionMax="47" xr10:uidLastSave="{1362DAD2-030D-46C3-B684-45FCE8DD3E5D}"/>
  <bookViews>
    <workbookView xWindow="-110" yWindow="-110" windowWidth="19420" windowHeight="10300" activeTab="1" xr2:uid="{00000000-000D-0000-FFFF-FFFF00000000}"/>
  </bookViews>
  <sheets>
    <sheet name="raw_data" sheetId="1" r:id="rId1"/>
    <sheet name="GA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1" i="2" l="1"/>
  <c r="K87" i="2"/>
  <c r="K66" i="2"/>
  <c r="M118" i="2"/>
  <c r="M117" i="2"/>
  <c r="M116" i="2"/>
  <c r="M115" i="2"/>
  <c r="M114" i="2"/>
  <c r="M113" i="2"/>
  <c r="M112" i="2"/>
  <c r="M111" i="2"/>
  <c r="M110" i="2"/>
  <c r="M109" i="2"/>
  <c r="K115" i="2"/>
  <c r="W44" i="2"/>
  <c r="W43" i="2"/>
  <c r="W42" i="2"/>
  <c r="W41" i="2"/>
  <c r="W40" i="2"/>
  <c r="W39" i="2"/>
  <c r="W38" i="2"/>
  <c r="W37" i="2"/>
  <c r="W36" i="2"/>
  <c r="W35" i="2"/>
  <c r="V44" i="2"/>
  <c r="V43" i="2"/>
  <c r="V42" i="2"/>
  <c r="V41" i="2"/>
  <c r="V40" i="2"/>
  <c r="V39" i="2"/>
  <c r="V38" i="2"/>
  <c r="V37" i="2"/>
  <c r="V36" i="2"/>
  <c r="V35" i="2"/>
  <c r="U44" i="2"/>
  <c r="U43" i="2"/>
  <c r="U42" i="2"/>
  <c r="U41" i="2"/>
  <c r="U40" i="2"/>
  <c r="U39" i="2"/>
  <c r="U38" i="2"/>
  <c r="U37" i="2"/>
  <c r="U36" i="2"/>
  <c r="U35" i="2"/>
  <c r="T44" i="2"/>
  <c r="T43" i="2"/>
  <c r="T42" i="2"/>
  <c r="T41" i="2"/>
  <c r="T40" i="2"/>
  <c r="T39" i="2"/>
  <c r="T38" i="2"/>
  <c r="T37" i="2"/>
  <c r="T36" i="2"/>
  <c r="T35" i="2"/>
  <c r="S43" i="2"/>
  <c r="S44" i="2"/>
  <c r="S42" i="2"/>
  <c r="S41" i="2"/>
  <c r="S40" i="2"/>
  <c r="S39" i="2"/>
  <c r="S38" i="2"/>
  <c r="S37" i="2"/>
  <c r="S36" i="2"/>
  <c r="S35" i="2"/>
  <c r="R44" i="2"/>
  <c r="R43" i="2"/>
  <c r="R42" i="2"/>
  <c r="R41" i="2"/>
  <c r="R40" i="2"/>
  <c r="R39" i="2"/>
  <c r="R38" i="2"/>
  <c r="R37" i="2"/>
  <c r="R36" i="2"/>
  <c r="R35" i="2"/>
  <c r="Q44" i="2"/>
  <c r="Q43" i="2"/>
  <c r="Q42" i="2"/>
  <c r="Q41" i="2"/>
  <c r="Q40" i="2"/>
  <c r="Q39" i="2"/>
  <c r="Q38" i="2"/>
  <c r="Q37" i="2"/>
  <c r="Q36" i="2"/>
  <c r="Q35" i="2"/>
  <c r="P44" i="2"/>
  <c r="P43" i="2"/>
  <c r="P42" i="2"/>
  <c r="P41" i="2"/>
  <c r="P40" i="2"/>
  <c r="P39" i="2"/>
  <c r="P38" i="2"/>
  <c r="P37" i="2"/>
  <c r="P36" i="2"/>
  <c r="P35" i="2"/>
  <c r="O44" i="2"/>
  <c r="O43" i="2"/>
  <c r="O42" i="2"/>
  <c r="O41" i="2"/>
  <c r="O40" i="2"/>
  <c r="O39" i="2"/>
  <c r="O38" i="2"/>
  <c r="O37" i="2"/>
  <c r="O36" i="2"/>
  <c r="O35" i="2"/>
  <c r="N44" i="2"/>
  <c r="N43" i="2"/>
  <c r="N42" i="2"/>
  <c r="N41" i="2"/>
  <c r="N40" i="2"/>
  <c r="N39" i="2"/>
  <c r="N38" i="2"/>
  <c r="N37" i="2"/>
  <c r="N36" i="2"/>
  <c r="N35" i="2"/>
  <c r="M44" i="2"/>
  <c r="M43" i="2"/>
  <c r="M42" i="2"/>
  <c r="M41" i="2"/>
  <c r="M40" i="2"/>
  <c r="M39" i="2"/>
  <c r="M38" i="2"/>
  <c r="M37" i="2"/>
  <c r="M36" i="2"/>
  <c r="M35" i="2"/>
  <c r="L44" i="2"/>
  <c r="L43" i="2"/>
  <c r="L42" i="2"/>
  <c r="L41" i="2"/>
  <c r="L40" i="2"/>
  <c r="L39" i="2"/>
  <c r="L38" i="2"/>
  <c r="L37" i="2"/>
  <c r="L36" i="2"/>
  <c r="L35" i="2"/>
  <c r="K44" i="2"/>
  <c r="K43" i="2"/>
  <c r="K42" i="2"/>
  <c r="K41" i="2"/>
  <c r="K40" i="2"/>
  <c r="K39" i="2"/>
  <c r="K38" i="2"/>
  <c r="K37" i="2"/>
  <c r="K36" i="2"/>
  <c r="K35" i="2"/>
  <c r="K54" i="2"/>
  <c r="M119" i="2"/>
  <c r="AE54" i="2"/>
  <c r="AE53" i="2"/>
  <c r="AE52" i="2"/>
  <c r="AE51" i="2"/>
  <c r="AE50" i="2"/>
  <c r="AE49" i="2"/>
  <c r="AE48" i="2"/>
  <c r="AE47" i="2"/>
  <c r="AE46" i="2"/>
  <c r="AE45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M53" i="2"/>
  <c r="L53" i="2"/>
  <c r="K53" i="2"/>
  <c r="M52" i="2"/>
  <c r="L52" i="2"/>
  <c r="K52" i="2"/>
  <c r="M51" i="2"/>
  <c r="L51" i="2"/>
  <c r="K51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N60" i="2" l="1"/>
  <c r="N59" i="2"/>
  <c r="S74" i="2" s="1"/>
  <c r="N55" i="2"/>
  <c r="N53" i="2"/>
  <c r="N58" i="2"/>
  <c r="R70" i="2" s="1"/>
  <c r="N56" i="2"/>
  <c r="O71" i="2" s="1"/>
  <c r="N57" i="2"/>
  <c r="N51" i="2"/>
  <c r="N54" i="2"/>
  <c r="N52" i="2"/>
  <c r="T75" i="2"/>
  <c r="O75" i="2" l="1"/>
  <c r="K70" i="2"/>
  <c r="T68" i="2"/>
  <c r="T74" i="2"/>
  <c r="S75" i="2"/>
  <c r="S70" i="2"/>
  <c r="O70" i="2"/>
  <c r="T70" i="2"/>
  <c r="Q68" i="2"/>
  <c r="O74" i="2"/>
  <c r="M74" i="2"/>
  <c r="M70" i="2"/>
  <c r="O73" i="2"/>
  <c r="M69" i="2"/>
  <c r="P73" i="2"/>
  <c r="M75" i="2"/>
  <c r="S68" i="2"/>
  <c r="R75" i="2"/>
  <c r="R74" i="2"/>
  <c r="K74" i="2"/>
  <c r="R68" i="2"/>
  <c r="Q71" i="2"/>
  <c r="R73" i="2"/>
  <c r="O68" i="2"/>
  <c r="M68" i="2"/>
  <c r="R71" i="2"/>
  <c r="M73" i="2"/>
  <c r="K67" i="2"/>
  <c r="K68" i="2"/>
  <c r="P69" i="2"/>
  <c r="K71" i="2"/>
  <c r="K72" i="2"/>
  <c r="S71" i="2"/>
  <c r="K75" i="2"/>
  <c r="S72" i="2"/>
  <c r="S73" i="2"/>
  <c r="O72" i="2"/>
  <c r="P74" i="2"/>
  <c r="T73" i="2"/>
  <c r="P72" i="2"/>
  <c r="Q66" i="2"/>
  <c r="L115" i="2" s="1"/>
  <c r="N69" i="2"/>
  <c r="R66" i="2"/>
  <c r="Q72" i="2"/>
  <c r="M71" i="2"/>
  <c r="Q74" i="2"/>
  <c r="R72" i="2"/>
  <c r="P70" i="2"/>
  <c r="P71" i="2"/>
  <c r="S66" i="2"/>
  <c r="O69" i="2"/>
  <c r="L68" i="2"/>
  <c r="N66" i="2"/>
  <c r="T66" i="2"/>
  <c r="N70" i="2"/>
  <c r="L71" i="2"/>
  <c r="L74" i="2"/>
  <c r="Q73" i="2"/>
  <c r="Q69" i="2"/>
  <c r="T72" i="2"/>
  <c r="M67" i="2"/>
  <c r="N71" i="2"/>
  <c r="T71" i="2"/>
  <c r="R69" i="2"/>
  <c r="M72" i="2"/>
  <c r="P75" i="2"/>
  <c r="Q70" i="2"/>
  <c r="N67" i="2"/>
  <c r="P68" i="2"/>
  <c r="K73" i="2"/>
  <c r="K94" i="2" s="1"/>
  <c r="L94" i="2" s="1"/>
  <c r="K69" i="2"/>
  <c r="N72" i="2"/>
  <c r="Q75" i="2"/>
  <c r="O67" i="2"/>
  <c r="T67" i="2"/>
  <c r="L73" i="2"/>
  <c r="N74" i="2"/>
  <c r="L66" i="2"/>
  <c r="P67" i="2"/>
  <c r="S69" i="2"/>
  <c r="L72" i="2"/>
  <c r="L75" i="2"/>
  <c r="Q67" i="2"/>
  <c r="L69" i="2"/>
  <c r="N68" i="2"/>
  <c r="L70" i="2"/>
  <c r="O66" i="2"/>
  <c r="K113" i="2" s="1"/>
  <c r="L113" i="2" s="1"/>
  <c r="M66" i="2"/>
  <c r="N75" i="2"/>
  <c r="S67" i="2"/>
  <c r="P66" i="2"/>
  <c r="N73" i="2"/>
  <c r="T69" i="2"/>
  <c r="L67" i="2"/>
  <c r="R67" i="2"/>
  <c r="K118" i="2" l="1"/>
  <c r="L118" i="2" s="1"/>
  <c r="K96" i="2"/>
  <c r="L96" i="2" s="1"/>
  <c r="K111" i="2"/>
  <c r="L111" i="2" s="1"/>
  <c r="K95" i="2"/>
  <c r="L95" i="2" s="1"/>
  <c r="K117" i="2"/>
  <c r="L117" i="2" s="1"/>
  <c r="K90" i="2"/>
  <c r="L90" i="2" s="1"/>
  <c r="K116" i="2"/>
  <c r="L116" i="2" s="1"/>
  <c r="K93" i="2"/>
  <c r="L93" i="2" s="1"/>
  <c r="K92" i="2"/>
  <c r="L92" i="2" s="1"/>
  <c r="K114" i="2"/>
  <c r="L114" i="2" s="1"/>
  <c r="K91" i="2"/>
  <c r="L91" i="2" s="1"/>
  <c r="K112" i="2"/>
  <c r="L112" i="2" s="1"/>
  <c r="K109" i="2"/>
  <c r="L109" i="2" s="1"/>
  <c r="L119" i="2" s="1"/>
  <c r="K89" i="2"/>
  <c r="L89" i="2" s="1"/>
  <c r="K88" i="2"/>
  <c r="L88" i="2" s="1"/>
  <c r="K110" i="2"/>
  <c r="L110" i="2" s="1"/>
  <c r="L87" i="2"/>
  <c r="L97" i="2" l="1"/>
  <c r="AD20" i="2" l="1"/>
  <c r="AF20" i="2" s="1"/>
  <c r="AD36" i="2" s="1"/>
  <c r="M93" i="2"/>
  <c r="AD19" i="2"/>
  <c r="AF19" i="2" s="1"/>
  <c r="AD35" i="2" s="1"/>
  <c r="M92" i="2"/>
  <c r="M90" i="2"/>
  <c r="M88" i="2"/>
  <c r="AD18" i="2"/>
  <c r="AF18" i="2" s="1"/>
  <c r="AD34" i="2" s="1"/>
  <c r="M91" i="2"/>
  <c r="AD17" i="2"/>
  <c r="AF17" i="2" s="1"/>
  <c r="AD33" i="2" s="1"/>
  <c r="AD16" i="2"/>
  <c r="AF16" i="2" s="1"/>
  <c r="AD32" i="2" s="1"/>
  <c r="M89" i="2"/>
  <c r="AD12" i="2"/>
  <c r="AF12" i="2" s="1"/>
  <c r="AD28" i="2" s="1"/>
  <c r="M96" i="2"/>
  <c r="AD15" i="2"/>
  <c r="AF15" i="2" s="1"/>
  <c r="AD31" i="2" s="1"/>
  <c r="AD14" i="2"/>
  <c r="AF14" i="2" s="1"/>
  <c r="AD30" i="2" s="1"/>
  <c r="AD13" i="2"/>
  <c r="AF13" i="2" s="1"/>
  <c r="AD29" i="2" s="1"/>
  <c r="M95" i="2"/>
  <c r="M94" i="2"/>
  <c r="AD11" i="2"/>
  <c r="M87" i="2"/>
  <c r="M97" i="2" l="1"/>
  <c r="AD27" i="2"/>
  <c r="AF21" i="2"/>
  <c r="AF28" i="2" s="1"/>
  <c r="AF36" i="2" l="1"/>
  <c r="AF29" i="2"/>
  <c r="AF27" i="2"/>
  <c r="AF32" i="2"/>
  <c r="AF31" i="2"/>
  <c r="AF30" i="2"/>
  <c r="AF34" i="2"/>
  <c r="AF33" i="2"/>
  <c r="AF35" i="2"/>
</calcChain>
</file>

<file path=xl/sharedStrings.xml><?xml version="1.0" encoding="utf-8"?>
<sst xmlns="http://schemas.openxmlformats.org/spreadsheetml/2006/main" count="389" uniqueCount="102">
  <si>
    <t>Mobile Legends: Bang Bang</t>
  </si>
  <si>
    <t>Grafis &amp; Desain</t>
  </si>
  <si>
    <t>Keseimbangan Gameplay</t>
  </si>
  <si>
    <t>Popularitas &amp; Komunitas</t>
  </si>
  <si>
    <t>Stabilitas server/koneksi</t>
  </si>
  <si>
    <t>Fitur &amp; Mode</t>
  </si>
  <si>
    <t>Kemudahan Kontrol &amp; UI</t>
  </si>
  <si>
    <t>Tingkat Kompetitif</t>
  </si>
  <si>
    <t>Sistem Pembayaran</t>
  </si>
  <si>
    <t>Ukuran Aplikasi</t>
  </si>
  <si>
    <t>Lancar di HP Menengah</t>
  </si>
  <si>
    <t>Fairness F2P</t>
  </si>
  <si>
    <t>Sosialisasi/Menambah Kenalan</t>
  </si>
  <si>
    <t>Rekomendasi Untuk Pemula</t>
  </si>
  <si>
    <t>Honor of Kings</t>
  </si>
  <si>
    <t>Garena AOV</t>
  </si>
  <si>
    <t>League of Legends: Wild Rift</t>
  </si>
  <si>
    <t>Pokémon Unite</t>
  </si>
  <si>
    <t>Heroes Evolved</t>
  </si>
  <si>
    <t>Onmyoji Arena</t>
  </si>
  <si>
    <t>Lokapala</t>
  </si>
  <si>
    <t>Vainglory (IOS)</t>
  </si>
  <si>
    <t>Marvel Super War</t>
  </si>
  <si>
    <t>Studi Kasus:</t>
  </si>
  <si>
    <t>Banyaknya pilihan game MOBA Mobile dengan karakteristik dan fitur yang beragam membuat mahasiswa sering kesulitan menentukan game mana yang paling sesuai untuk dimainkan bersama teman.</t>
  </si>
  <si>
    <t>Tahap 1: Menentukan Nilai Geometrik Mean</t>
  </si>
  <si>
    <t>Tahap 5: Menghitung Agregasi Bobot terhadap Kriteria</t>
  </si>
  <si>
    <t>Data Kriteria dan Data Alternatif</t>
  </si>
  <si>
    <t>Menentukan Nilai Geomterik Mean (GM)</t>
  </si>
  <si>
    <t>Langkah 5.1: Menghitung Bobot GADA</t>
  </si>
  <si>
    <t>Data Kriteria</t>
  </si>
  <si>
    <t>Kode</t>
  </si>
  <si>
    <t>Kriteria</t>
  </si>
  <si>
    <t>Jenis</t>
  </si>
  <si>
    <t>Kode Kriteria</t>
  </si>
  <si>
    <t>Bobot Alternatif</t>
  </si>
  <si>
    <t>Bobot GADA</t>
  </si>
  <si>
    <t>C1</t>
  </si>
  <si>
    <t>Grafis &amp; desain</t>
  </si>
  <si>
    <t>Benefit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</si>
  <si>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</si>
  <si>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</si>
  <si>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</si>
  <si>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</si>
  <si>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</si>
  <si>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</si>
  <si>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</si>
  <si>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</si>
  <si>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</si>
  <si>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</si>
  <si>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</si>
  <si>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</si>
  <si>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A1</t>
  </si>
  <si>
    <t>Keseimbangan gameplay</t>
  </si>
  <si>
    <t>A2</t>
  </si>
  <si>
    <t>Popularitas &amp; komunitas</t>
  </si>
  <si>
    <t>A3</t>
  </si>
  <si>
    <t>A4</t>
  </si>
  <si>
    <t>Fitur &amp; mode</t>
  </si>
  <si>
    <t>A5</t>
  </si>
  <si>
    <t>Kemudahan kontrol &amp; UI</t>
  </si>
  <si>
    <t>A6</t>
  </si>
  <si>
    <t>Tingkat kompetitif</t>
  </si>
  <si>
    <t>A7</t>
  </si>
  <si>
    <t>Sistem pembayaran</t>
  </si>
  <si>
    <t>A8</t>
  </si>
  <si>
    <t>Ukuran aplikasi</t>
  </si>
  <si>
    <t>A9</t>
  </si>
  <si>
    <t>Lancar di HP menengah</t>
  </si>
  <si>
    <t>A10</t>
  </si>
  <si>
    <t>Total</t>
  </si>
  <si>
    <t>Sosialisasi / menambah kenalan</t>
  </si>
  <si>
    <t>GM Max</t>
  </si>
  <si>
    <t>Rekomendasi untuk pemula</t>
  </si>
  <si>
    <t>Langkah 5.2: Menghitung Bobot Relatif Keseluruhan</t>
  </si>
  <si>
    <t>Bobot Akhir</t>
  </si>
  <si>
    <t>Data Alternatif</t>
  </si>
  <si>
    <t>Tahap 2: Menentukan Nilai Matriks Perbandingan Berpasangan</t>
  </si>
  <si>
    <t>Alternatif</t>
  </si>
  <si>
    <t>Langkah 2.1 Menghitung Nilai Komponen Alternatif</t>
  </si>
  <si>
    <t>Tahap 6: Menghitung Hasil Perangkingan</t>
  </si>
  <si>
    <t>Keterangan:</t>
  </si>
  <si>
    <t>Karena semua kriteria bersifat benefit</t>
  </si>
  <si>
    <t>RANK</t>
  </si>
  <si>
    <t>Keterangan</t>
  </si>
  <si>
    <t>Pilihan Terbaik (Bobot Tertinggi)</t>
  </si>
  <si>
    <t>Langkah 2.2 Menghitung Matriks Perbandingan Berpasangan</t>
  </si>
  <si>
    <t>Si</t>
  </si>
  <si>
    <t>1/2 x C1</t>
  </si>
  <si>
    <t>SUM C2-C12</t>
  </si>
  <si>
    <t>1/2 x C13</t>
  </si>
  <si>
    <t>Pilihan Terburuk (Bobot Terendah)</t>
  </si>
  <si>
    <t>Langkah 2.3 Menghitung Elemen Matriks Perbandingan Berpasangan</t>
  </si>
  <si>
    <t>Tahap 3: Menghitung Bobot Yang Disarankan</t>
  </si>
  <si>
    <t>Menghitung Bobot Yang Disarankan</t>
  </si>
  <si>
    <t>Hasil Kali</t>
  </si>
  <si>
    <t>GM Baris</t>
  </si>
  <si>
    <t>Tahap 4: Menghitung Bobot Simulasi dan Kriteria</t>
  </si>
  <si>
    <t>Menghitung Bobot Simulasi dan Kriteria</t>
  </si>
  <si>
    <t>GM Kolom</t>
  </si>
  <si>
    <t>Bobot Kriteria</t>
  </si>
  <si>
    <t>Bobot Kriteria yang dihasilkan hanya valid untuk 10 kriteria pertama (C1-C10). Meskipun nilai agregat (Si) pada Tahap 2 memperhitungkan semua 13 kriteria (C1 hingga C13), matriks elemen hanya berdimensi 10 x 10 (perbandingan 10 alternatif). Oleh karena itu, tidak dapat menghitung bobot simulasi terpisah untuk kriteria 11, 12 dan 13. Namun, keterbatasan ini tidak memengaruhi hasil peringkat akhir alternatif karena pengaruh C11-C13 sudah tercakup dalam nilai dasar (Si), dan normalisasi pada Tahap 5 meniadakan perbedaan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</si>
</sst>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3" fillId="3" borderId="4" xfId="0" applyFont="1" applyFill="1" applyBorder="1"/>
    <xf numFmtId="0" fontId="3" fillId="4" borderId="5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6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3" fillId="5" borderId="0" xfId="0" applyFont="1" applyFill="1" applyAlignment="1">
      <alignment horizontal="right"/>
    </xf>
    <xf numFmtId="0" fontId="3" fillId="5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right"/>
    </xf>
    <xf numFmtId="0" fontId="3" fillId="4" borderId="9" xfId="0" applyFont="1" applyFill="1" applyBorder="1" applyAlignment="1">
      <alignment horizontal="right"/>
    </xf>
    <xf numFmtId="0" fontId="3" fillId="6" borderId="0" xfId="0" applyFont="1" applyFill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4" fillId="6" borderId="0" xfId="0" applyFont="1" applyFill="1"/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14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4" fillId="0" borderId="4" xfId="0" applyFont="1" applyBorder="1"/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6" fillId="7" borderId="18" xfId="0" applyFont="1" applyFill="1" applyBorder="1"/>
    <xf numFmtId="0" fontId="0" fillId="0" borderId="18" xfId="0" applyBorder="1"/>
    <xf numFmtId="0" fontId="6" fillId="8" borderId="0" xfId="0" applyFont="1" applyFill="1" applyAlignment="1">
      <alignment horizontal="center" vertical="center"/>
    </xf>
    <xf numFmtId="0" fontId="0" fillId="0" borderId="0" xfId="0"/>
    <xf numFmtId="0" fontId="8" fillId="9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9" fillId="10" borderId="10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left" vertical="center" wrapText="1"/>
    </xf>
    <xf numFmtId="0" fontId="4" fillId="15" borderId="10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9" fillId="11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4" fillId="15" borderId="10" xfId="0" applyFont="1" applyFill="1" applyBorder="1" applyAlignment="1">
      <alignment vertical="center"/>
    </xf>
    <xf numFmtId="0" fontId="4" fillId="0" borderId="18" xfId="0" applyFont="1" applyBorder="1" applyAlignment="1">
      <alignment horizontal="center"/>
    </xf>
    <xf numFmtId="0" fontId="4" fillId="16" borderId="1" xfId="0" applyFont="1" applyFill="1" applyBorder="1"/>
    <xf numFmtId="0" fontId="1" fillId="1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/>
    <xf numFmtId="0" fontId="4" fillId="2" borderId="1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vertical="center" wrapText="1"/>
    </xf>
    <xf numFmtId="0" fontId="9" fillId="14" borderId="16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raw_data-style" pivot="0" count="2" xr9:uid="{00000000-0011-0000-FFFF-FFFF00000000}">
      <tableStyleElement type="firstRowStripe" dxfId="3"/>
      <tableStyleElement type="secondRowStripe" dxfId="2"/>
    </tableStyle>
    <tableStyle name="raw_data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246902</xdr:colOff>
      <xdr:row>11</xdr:row>
      <xdr:rowOff>131483</xdr:rowOff>
    </xdr:from>
    <xdr:ext cx="1349936" cy="905061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312343" y="2288615"/>
          <a:ext cx="1349936" cy="905061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144930</xdr:colOff>
      <xdr:row>12</xdr:row>
      <xdr:rowOff>130735</xdr:rowOff>
    </xdr:from>
    <xdr:ext cx="1545292" cy="93382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54856" y="2483970"/>
          <a:ext cx="1545292" cy="933824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268194</xdr:colOff>
      <xdr:row>27</xdr:row>
      <xdr:rowOff>107576</xdr:rowOff>
    </xdr:from>
    <xdr:ext cx="1253938" cy="994336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333635" y="5402355"/>
          <a:ext cx="1253938" cy="994336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193488</xdr:colOff>
      <xdr:row>34</xdr:row>
      <xdr:rowOff>109444</xdr:rowOff>
    </xdr:from>
    <xdr:ext cx="1384674" cy="917762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03414" y="6776944"/>
          <a:ext cx="1384674" cy="917762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240180</xdr:colOff>
      <xdr:row>50</xdr:row>
      <xdr:rowOff>150159</xdr:rowOff>
    </xdr:from>
    <xdr:ext cx="2206438" cy="998444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62974" y="9815233"/>
          <a:ext cx="2206438" cy="998444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168835</xdr:colOff>
      <xdr:row>66</xdr:row>
      <xdr:rowOff>53414</xdr:rowOff>
    </xdr:from>
    <xdr:ext cx="2287121" cy="871071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491629" y="12370546"/>
          <a:ext cx="2287121" cy="871071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358961</xdr:colOff>
      <xdr:row>87</xdr:row>
      <xdr:rowOff>47438</xdr:rowOff>
    </xdr:from>
    <xdr:ext cx="1956920" cy="951753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681755" y="16081188"/>
          <a:ext cx="1956920" cy="951753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296207</xdr:colOff>
      <xdr:row>109</xdr:row>
      <xdr:rowOff>94129</xdr:rowOff>
    </xdr:from>
    <xdr:ext cx="2094381" cy="867709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619001" y="20012585"/>
          <a:ext cx="2094381" cy="867709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M32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raw_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2:M72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raw_dat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90"/>
  <sheetViews>
    <sheetView topLeftCell="A59" workbookViewId="0"/>
  </sheetViews>
  <sheetFormatPr defaultColWidth="12.6328125" defaultRowHeight="15.75" customHeight="1" x14ac:dyDescent="0.25"/>
  <cols>
    <col min="1" max="1" width="12.6328125" customWidth="1"/>
    <col min="2" max="2" width="20.1796875" customWidth="1"/>
    <col min="3" max="3" width="19.1796875" customWidth="1"/>
    <col min="4" max="4" width="19" customWidth="1"/>
    <col min="5" max="5" width="10.453125" customWidth="1"/>
    <col min="6" max="6" width="19.36328125" customWidth="1"/>
    <col min="7" max="7" width="14.1796875" customWidth="1"/>
    <col min="8" max="8" width="16" customWidth="1"/>
    <col min="9" max="9" width="12.6328125" customWidth="1"/>
    <col min="10" max="10" width="19" customWidth="1"/>
    <col min="11" max="11" width="10.81640625" customWidth="1"/>
    <col min="12" max="12" width="24.1796875" customWidth="1"/>
    <col min="13" max="13" width="22.1796875" customWidth="1"/>
  </cols>
  <sheetData>
    <row r="1" spans="1:13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3">
      <c r="A2" s="55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</row>
    <row r="3" spans="1:13" ht="15.7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15.75" customHeight="1" x14ac:dyDescent="0.25">
      <c r="A4" s="3">
        <v>5</v>
      </c>
      <c r="B4" s="4">
        <v>4</v>
      </c>
      <c r="C4" s="4">
        <v>4</v>
      </c>
      <c r="D4" s="4">
        <v>4</v>
      </c>
      <c r="E4" s="4">
        <v>5</v>
      </c>
      <c r="F4" s="4">
        <v>4</v>
      </c>
      <c r="G4" s="4">
        <v>4</v>
      </c>
      <c r="H4" s="4">
        <v>3</v>
      </c>
      <c r="I4" s="4">
        <v>3</v>
      </c>
      <c r="J4" s="4">
        <v>3</v>
      </c>
      <c r="K4" s="4">
        <v>4</v>
      </c>
      <c r="L4" s="4">
        <v>4</v>
      </c>
      <c r="M4" s="5">
        <v>5</v>
      </c>
    </row>
    <row r="5" spans="1:13" ht="15.75" customHeight="1" x14ac:dyDescent="0.25">
      <c r="A5" s="6">
        <v>4</v>
      </c>
      <c r="B5" s="7">
        <v>3</v>
      </c>
      <c r="C5" s="7">
        <v>4</v>
      </c>
      <c r="D5" s="7">
        <v>2</v>
      </c>
      <c r="E5" s="7">
        <v>4</v>
      </c>
      <c r="F5" s="7">
        <v>4</v>
      </c>
      <c r="G5" s="7">
        <v>3</v>
      </c>
      <c r="H5" s="7">
        <v>3</v>
      </c>
      <c r="I5" s="7">
        <v>3</v>
      </c>
      <c r="J5" s="7">
        <v>3</v>
      </c>
      <c r="K5" s="7">
        <v>4</v>
      </c>
      <c r="L5" s="7">
        <v>3</v>
      </c>
      <c r="M5" s="8">
        <v>5</v>
      </c>
    </row>
    <row r="6" spans="1:13" ht="15.75" customHeight="1" x14ac:dyDescent="0.25">
      <c r="A6" s="3">
        <v>5</v>
      </c>
      <c r="B6" s="4">
        <v>4</v>
      </c>
      <c r="C6" s="4">
        <v>5</v>
      </c>
      <c r="D6" s="4">
        <v>4</v>
      </c>
      <c r="E6" s="4">
        <v>5</v>
      </c>
      <c r="F6" s="4">
        <v>4</v>
      </c>
      <c r="G6" s="4">
        <v>4</v>
      </c>
      <c r="H6" s="4">
        <v>4</v>
      </c>
      <c r="I6" s="4">
        <v>3</v>
      </c>
      <c r="J6" s="4">
        <v>3</v>
      </c>
      <c r="K6" s="4">
        <v>3</v>
      </c>
      <c r="L6" s="4">
        <v>5</v>
      </c>
      <c r="M6" s="5">
        <v>5</v>
      </c>
    </row>
    <row r="7" spans="1:13" ht="15.75" customHeight="1" x14ac:dyDescent="0.25">
      <c r="A7" s="6">
        <v>4</v>
      </c>
      <c r="B7" s="7">
        <v>4</v>
      </c>
      <c r="C7" s="7">
        <v>3</v>
      </c>
      <c r="D7" s="7">
        <v>4</v>
      </c>
      <c r="E7" s="7">
        <v>4</v>
      </c>
      <c r="F7" s="7">
        <v>4</v>
      </c>
      <c r="G7" s="7">
        <v>5</v>
      </c>
      <c r="H7" s="7">
        <v>3</v>
      </c>
      <c r="I7" s="7">
        <v>2</v>
      </c>
      <c r="J7" s="7">
        <v>4</v>
      </c>
      <c r="K7" s="7">
        <v>5</v>
      </c>
      <c r="L7" s="7">
        <v>4</v>
      </c>
      <c r="M7" s="8">
        <v>5</v>
      </c>
    </row>
    <row r="8" spans="1:13" ht="15.75" customHeight="1" x14ac:dyDescent="0.25">
      <c r="A8" s="3">
        <v>5</v>
      </c>
      <c r="B8" s="4">
        <v>5</v>
      </c>
      <c r="C8" s="4">
        <v>5</v>
      </c>
      <c r="D8" s="4">
        <v>4</v>
      </c>
      <c r="E8" s="4">
        <v>4</v>
      </c>
      <c r="F8" s="4">
        <v>4</v>
      </c>
      <c r="G8" s="4">
        <v>5</v>
      </c>
      <c r="H8" s="4">
        <v>4</v>
      </c>
      <c r="I8" s="4">
        <v>5</v>
      </c>
      <c r="J8" s="4">
        <v>5</v>
      </c>
      <c r="K8" s="4">
        <v>4</v>
      </c>
      <c r="L8" s="4">
        <v>5</v>
      </c>
      <c r="M8" s="5">
        <v>5</v>
      </c>
    </row>
    <row r="9" spans="1:13" ht="15.75" customHeight="1" x14ac:dyDescent="0.25">
      <c r="A9" s="6">
        <v>4</v>
      </c>
      <c r="B9" s="7">
        <v>5</v>
      </c>
      <c r="C9" s="7">
        <v>5</v>
      </c>
      <c r="D9" s="7">
        <v>4</v>
      </c>
      <c r="E9" s="7">
        <v>5</v>
      </c>
      <c r="F9" s="7">
        <v>4</v>
      </c>
      <c r="G9" s="7">
        <v>5</v>
      </c>
      <c r="H9" s="7">
        <v>5</v>
      </c>
      <c r="I9" s="7">
        <v>5</v>
      </c>
      <c r="J9" s="7">
        <v>3</v>
      </c>
      <c r="K9" s="7">
        <v>3</v>
      </c>
      <c r="L9" s="7">
        <v>5</v>
      </c>
      <c r="M9" s="8">
        <v>4</v>
      </c>
    </row>
    <row r="10" spans="1:13" ht="15.75" customHeight="1" x14ac:dyDescent="0.25">
      <c r="A10" s="3">
        <v>5</v>
      </c>
      <c r="B10" s="4">
        <v>3</v>
      </c>
      <c r="C10" s="4">
        <v>5</v>
      </c>
      <c r="D10" s="4">
        <v>3</v>
      </c>
      <c r="E10" s="4">
        <v>4</v>
      </c>
      <c r="F10" s="4">
        <v>5</v>
      </c>
      <c r="G10" s="4">
        <v>4</v>
      </c>
      <c r="H10" s="4">
        <v>5</v>
      </c>
      <c r="I10" s="4">
        <v>4</v>
      </c>
      <c r="J10" s="4">
        <v>4</v>
      </c>
      <c r="K10" s="4">
        <v>4</v>
      </c>
      <c r="L10" s="4">
        <v>3</v>
      </c>
      <c r="M10" s="5">
        <v>4</v>
      </c>
    </row>
    <row r="11" spans="1:13" ht="15.75" customHeight="1" x14ac:dyDescent="0.25">
      <c r="A11" s="6">
        <v>4</v>
      </c>
      <c r="B11" s="7">
        <v>4</v>
      </c>
      <c r="C11" s="7">
        <v>5</v>
      </c>
      <c r="D11" s="7">
        <v>4</v>
      </c>
      <c r="E11" s="7">
        <v>4</v>
      </c>
      <c r="F11" s="7">
        <v>4</v>
      </c>
      <c r="G11" s="7">
        <v>5</v>
      </c>
      <c r="H11" s="7">
        <v>5</v>
      </c>
      <c r="I11" s="7">
        <v>4</v>
      </c>
      <c r="J11" s="7">
        <v>4</v>
      </c>
      <c r="K11" s="7">
        <v>4</v>
      </c>
      <c r="L11" s="7">
        <v>3</v>
      </c>
      <c r="M11" s="8">
        <v>4</v>
      </c>
    </row>
    <row r="12" spans="1:13" ht="15.75" customHeight="1" x14ac:dyDescent="0.25">
      <c r="A12" s="3">
        <v>4</v>
      </c>
      <c r="B12" s="4">
        <v>4</v>
      </c>
      <c r="C12" s="4">
        <v>4</v>
      </c>
      <c r="D12" s="4">
        <v>4</v>
      </c>
      <c r="E12" s="4">
        <v>4</v>
      </c>
      <c r="F12" s="4">
        <v>5</v>
      </c>
      <c r="G12" s="4">
        <v>4</v>
      </c>
      <c r="H12" s="4">
        <v>4</v>
      </c>
      <c r="I12" s="4">
        <v>4</v>
      </c>
      <c r="J12" s="4">
        <v>4</v>
      </c>
      <c r="K12" s="4">
        <v>4</v>
      </c>
      <c r="L12" s="4">
        <v>4</v>
      </c>
      <c r="M12" s="5">
        <v>4</v>
      </c>
    </row>
    <row r="13" spans="1:13" ht="15.75" customHeight="1" x14ac:dyDescent="0.25">
      <c r="A13" s="6">
        <v>3</v>
      </c>
      <c r="B13" s="7">
        <v>3</v>
      </c>
      <c r="C13" s="7">
        <v>3</v>
      </c>
      <c r="D13" s="7">
        <v>3</v>
      </c>
      <c r="E13" s="7">
        <v>3</v>
      </c>
      <c r="F13" s="7">
        <v>3</v>
      </c>
      <c r="G13" s="7">
        <v>3</v>
      </c>
      <c r="H13" s="7">
        <v>3</v>
      </c>
      <c r="I13" s="7">
        <v>3</v>
      </c>
      <c r="J13" s="7">
        <v>3</v>
      </c>
      <c r="K13" s="7">
        <v>3</v>
      </c>
      <c r="L13" s="7">
        <v>3</v>
      </c>
      <c r="M13" s="8">
        <v>3</v>
      </c>
    </row>
    <row r="14" spans="1:13" ht="15.75" customHeight="1" x14ac:dyDescent="0.25">
      <c r="A14" s="3">
        <v>4</v>
      </c>
      <c r="B14" s="4">
        <v>4</v>
      </c>
      <c r="C14" s="4">
        <v>4</v>
      </c>
      <c r="D14" s="4">
        <v>3</v>
      </c>
      <c r="E14" s="4">
        <v>4</v>
      </c>
      <c r="F14" s="4">
        <v>4</v>
      </c>
      <c r="G14" s="4">
        <v>4</v>
      </c>
      <c r="H14" s="4">
        <v>3</v>
      </c>
      <c r="I14" s="4">
        <v>3</v>
      </c>
      <c r="J14" s="4">
        <v>3</v>
      </c>
      <c r="K14" s="4">
        <v>3</v>
      </c>
      <c r="L14" s="4">
        <v>4</v>
      </c>
      <c r="M14" s="5">
        <v>4</v>
      </c>
    </row>
    <row r="15" spans="1:13" ht="15.75" customHeight="1" x14ac:dyDescent="0.25">
      <c r="A15" s="6">
        <v>4</v>
      </c>
      <c r="B15" s="7">
        <v>5</v>
      </c>
      <c r="C15" s="7">
        <v>5</v>
      </c>
      <c r="D15" s="7">
        <v>4</v>
      </c>
      <c r="E15" s="7">
        <v>5</v>
      </c>
      <c r="F15" s="7">
        <v>5</v>
      </c>
      <c r="G15" s="7">
        <v>5</v>
      </c>
      <c r="H15" s="7">
        <v>5</v>
      </c>
      <c r="I15" s="7">
        <v>3</v>
      </c>
      <c r="J15" s="7">
        <v>4</v>
      </c>
      <c r="K15" s="7">
        <v>4</v>
      </c>
      <c r="L15" s="7">
        <v>4</v>
      </c>
      <c r="M15" s="8">
        <v>3</v>
      </c>
    </row>
    <row r="16" spans="1:13" ht="15.75" customHeight="1" x14ac:dyDescent="0.25">
      <c r="A16" s="3">
        <v>4</v>
      </c>
      <c r="B16" s="4">
        <v>4</v>
      </c>
      <c r="C16" s="4">
        <v>4</v>
      </c>
      <c r="D16" s="4">
        <v>4</v>
      </c>
      <c r="E16" s="4">
        <v>4</v>
      </c>
      <c r="F16" s="4">
        <v>5</v>
      </c>
      <c r="G16" s="4">
        <v>4</v>
      </c>
      <c r="H16" s="4">
        <v>3</v>
      </c>
      <c r="I16" s="4">
        <v>4</v>
      </c>
      <c r="J16" s="4">
        <v>3</v>
      </c>
      <c r="K16" s="4">
        <v>3</v>
      </c>
      <c r="L16" s="4">
        <v>3</v>
      </c>
      <c r="M16" s="5">
        <v>3</v>
      </c>
    </row>
    <row r="17" spans="1:13" ht="15.75" customHeight="1" x14ac:dyDescent="0.25">
      <c r="A17" s="6">
        <v>4</v>
      </c>
      <c r="B17" s="7">
        <v>4</v>
      </c>
      <c r="C17" s="7">
        <v>5</v>
      </c>
      <c r="D17" s="7">
        <v>3</v>
      </c>
      <c r="E17" s="7">
        <v>3</v>
      </c>
      <c r="F17" s="7">
        <v>3</v>
      </c>
      <c r="G17" s="7">
        <v>5</v>
      </c>
      <c r="H17" s="7">
        <v>4</v>
      </c>
      <c r="I17" s="7">
        <v>3</v>
      </c>
      <c r="J17" s="7">
        <v>3</v>
      </c>
      <c r="K17" s="7">
        <v>3</v>
      </c>
      <c r="L17" s="7">
        <v>1</v>
      </c>
      <c r="M17" s="8">
        <v>1</v>
      </c>
    </row>
    <row r="18" spans="1:13" ht="15.75" customHeight="1" x14ac:dyDescent="0.25">
      <c r="A18" s="3">
        <v>5</v>
      </c>
      <c r="B18" s="4">
        <v>3</v>
      </c>
      <c r="C18" s="4">
        <v>3</v>
      </c>
      <c r="D18" s="4">
        <v>2</v>
      </c>
      <c r="E18" s="4">
        <v>5</v>
      </c>
      <c r="F18" s="4">
        <v>5</v>
      </c>
      <c r="G18" s="4">
        <v>5</v>
      </c>
      <c r="H18" s="4">
        <v>5</v>
      </c>
      <c r="I18" s="4">
        <v>5</v>
      </c>
      <c r="J18" s="4">
        <v>3</v>
      </c>
      <c r="K18" s="4">
        <v>5</v>
      </c>
      <c r="L18" s="4">
        <v>4</v>
      </c>
      <c r="M18" s="5">
        <v>5</v>
      </c>
    </row>
    <row r="19" spans="1:13" ht="15.75" customHeight="1" x14ac:dyDescent="0.25">
      <c r="A19" s="6">
        <v>5</v>
      </c>
      <c r="B19" s="7">
        <v>5</v>
      </c>
      <c r="C19" s="7">
        <v>5</v>
      </c>
      <c r="D19" s="7">
        <v>5</v>
      </c>
      <c r="E19" s="7">
        <v>5</v>
      </c>
      <c r="F19" s="7">
        <v>5</v>
      </c>
      <c r="G19" s="7">
        <v>5</v>
      </c>
      <c r="H19" s="7">
        <v>5</v>
      </c>
      <c r="I19" s="7">
        <v>5</v>
      </c>
      <c r="J19" s="7">
        <v>5</v>
      </c>
      <c r="K19" s="7">
        <v>5</v>
      </c>
      <c r="L19" s="7">
        <v>5</v>
      </c>
      <c r="M19" s="8">
        <v>5</v>
      </c>
    </row>
    <row r="20" spans="1:13" ht="15.75" customHeight="1" x14ac:dyDescent="0.25">
      <c r="A20" s="3">
        <v>4</v>
      </c>
      <c r="B20" s="4">
        <v>5</v>
      </c>
      <c r="C20" s="4">
        <v>5</v>
      </c>
      <c r="D20" s="4">
        <v>4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>
        <v>3</v>
      </c>
      <c r="M20" s="5">
        <v>3</v>
      </c>
    </row>
    <row r="21" spans="1:13" ht="15.75" customHeight="1" x14ac:dyDescent="0.25">
      <c r="A21" s="6">
        <v>4</v>
      </c>
      <c r="B21" s="7">
        <v>3</v>
      </c>
      <c r="C21" s="7">
        <v>5</v>
      </c>
      <c r="D21" s="7">
        <v>5</v>
      </c>
      <c r="E21" s="7">
        <v>5</v>
      </c>
      <c r="F21" s="7">
        <v>4</v>
      </c>
      <c r="G21" s="7">
        <v>4</v>
      </c>
      <c r="H21" s="7">
        <v>3</v>
      </c>
      <c r="I21" s="7">
        <v>5</v>
      </c>
      <c r="J21" s="7">
        <v>5</v>
      </c>
      <c r="K21" s="7">
        <v>4</v>
      </c>
      <c r="L21" s="7">
        <v>5</v>
      </c>
      <c r="M21" s="8">
        <v>3</v>
      </c>
    </row>
    <row r="22" spans="1:13" ht="15.75" customHeight="1" x14ac:dyDescent="0.25">
      <c r="A22" s="3">
        <v>4</v>
      </c>
      <c r="B22" s="4">
        <v>3</v>
      </c>
      <c r="C22" s="4">
        <v>5</v>
      </c>
      <c r="D22" s="4">
        <v>4</v>
      </c>
      <c r="E22" s="4">
        <v>4</v>
      </c>
      <c r="F22" s="4">
        <v>5</v>
      </c>
      <c r="G22" s="4">
        <v>5</v>
      </c>
      <c r="H22" s="4">
        <v>5</v>
      </c>
      <c r="I22" s="4">
        <v>5</v>
      </c>
      <c r="J22" s="4">
        <v>3</v>
      </c>
      <c r="K22" s="4">
        <v>5</v>
      </c>
      <c r="L22" s="4">
        <v>4</v>
      </c>
      <c r="M22" s="5">
        <v>5</v>
      </c>
    </row>
    <row r="23" spans="1:13" ht="15.75" customHeight="1" x14ac:dyDescent="0.25">
      <c r="A23" s="6">
        <v>3</v>
      </c>
      <c r="B23" s="7">
        <v>4</v>
      </c>
      <c r="C23" s="7">
        <v>5</v>
      </c>
      <c r="D23" s="7">
        <v>4</v>
      </c>
      <c r="E23" s="7">
        <v>5</v>
      </c>
      <c r="F23" s="7">
        <v>5</v>
      </c>
      <c r="G23" s="7">
        <v>5</v>
      </c>
      <c r="H23" s="7">
        <v>4</v>
      </c>
      <c r="I23" s="7">
        <v>5</v>
      </c>
      <c r="J23" s="7">
        <v>4</v>
      </c>
      <c r="K23" s="7">
        <v>5</v>
      </c>
      <c r="L23" s="7">
        <v>4</v>
      </c>
      <c r="M23" s="8">
        <v>3</v>
      </c>
    </row>
    <row r="24" spans="1:13" ht="15.75" customHeight="1" x14ac:dyDescent="0.25">
      <c r="A24" s="3">
        <v>4</v>
      </c>
      <c r="B24" s="4">
        <v>2</v>
      </c>
      <c r="C24" s="4">
        <v>2</v>
      </c>
      <c r="D24" s="4">
        <v>2</v>
      </c>
      <c r="E24" s="4">
        <v>4</v>
      </c>
      <c r="F24" s="4">
        <v>5</v>
      </c>
      <c r="G24" s="4">
        <v>3</v>
      </c>
      <c r="H24" s="4">
        <v>5</v>
      </c>
      <c r="I24" s="4">
        <v>5</v>
      </c>
      <c r="J24" s="4">
        <v>4</v>
      </c>
      <c r="K24" s="4">
        <v>5</v>
      </c>
      <c r="L24" s="4">
        <v>5</v>
      </c>
      <c r="M24" s="5">
        <v>2</v>
      </c>
    </row>
    <row r="25" spans="1:13" ht="15.75" customHeight="1" x14ac:dyDescent="0.25">
      <c r="A25" s="6">
        <v>5</v>
      </c>
      <c r="B25" s="7">
        <v>5</v>
      </c>
      <c r="C25" s="7">
        <v>5</v>
      </c>
      <c r="D25" s="7">
        <v>5</v>
      </c>
      <c r="E25" s="7">
        <v>5</v>
      </c>
      <c r="F25" s="7">
        <v>5</v>
      </c>
      <c r="G25" s="7">
        <v>4</v>
      </c>
      <c r="H25" s="7">
        <v>4</v>
      </c>
      <c r="I25" s="7">
        <v>5</v>
      </c>
      <c r="J25" s="7">
        <v>5</v>
      </c>
      <c r="K25" s="7">
        <v>5</v>
      </c>
      <c r="L25" s="7">
        <v>5</v>
      </c>
      <c r="M25" s="8">
        <v>5</v>
      </c>
    </row>
    <row r="26" spans="1:13" ht="15.75" customHeight="1" x14ac:dyDescent="0.25">
      <c r="A26" s="3">
        <v>5</v>
      </c>
      <c r="B26" s="4">
        <v>4</v>
      </c>
      <c r="C26" s="4">
        <v>5</v>
      </c>
      <c r="D26" s="4">
        <v>3</v>
      </c>
      <c r="E26" s="4">
        <v>4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5">
        <v>1</v>
      </c>
    </row>
    <row r="27" spans="1:13" ht="15.75" customHeight="1" x14ac:dyDescent="0.25">
      <c r="A27" s="6">
        <v>4</v>
      </c>
      <c r="B27" s="7">
        <v>3</v>
      </c>
      <c r="C27" s="7">
        <v>5</v>
      </c>
      <c r="D27" s="7">
        <v>4</v>
      </c>
      <c r="E27" s="7">
        <v>5</v>
      </c>
      <c r="F27" s="7">
        <v>5</v>
      </c>
      <c r="G27" s="7">
        <v>3</v>
      </c>
      <c r="H27" s="7">
        <v>4</v>
      </c>
      <c r="I27" s="7">
        <v>5</v>
      </c>
      <c r="J27" s="7">
        <v>2</v>
      </c>
      <c r="K27" s="7">
        <v>3</v>
      </c>
      <c r="L27" s="7">
        <v>4</v>
      </c>
      <c r="M27" s="8">
        <v>4</v>
      </c>
    </row>
    <row r="28" spans="1:13" ht="15.75" customHeight="1" x14ac:dyDescent="0.25">
      <c r="A28" s="3">
        <v>5</v>
      </c>
      <c r="B28" s="4">
        <v>4</v>
      </c>
      <c r="C28" s="4">
        <v>5</v>
      </c>
      <c r="D28" s="4">
        <v>5</v>
      </c>
      <c r="E28" s="4">
        <v>5</v>
      </c>
      <c r="F28" s="4">
        <v>5</v>
      </c>
      <c r="G28" s="4">
        <v>5</v>
      </c>
      <c r="H28" s="4">
        <v>5</v>
      </c>
      <c r="I28" s="4">
        <v>5</v>
      </c>
      <c r="J28" s="4">
        <v>5</v>
      </c>
      <c r="K28" s="4">
        <v>2</v>
      </c>
      <c r="L28" s="4">
        <v>5</v>
      </c>
      <c r="M28" s="5">
        <v>5</v>
      </c>
    </row>
    <row r="29" spans="1:13" ht="15.75" customHeight="1" x14ac:dyDescent="0.25">
      <c r="A29" s="6">
        <v>3</v>
      </c>
      <c r="B29" s="7">
        <v>3</v>
      </c>
      <c r="C29" s="7">
        <v>3</v>
      </c>
      <c r="D29" s="7">
        <v>3</v>
      </c>
      <c r="E29" s="7">
        <v>3</v>
      </c>
      <c r="F29" s="7">
        <v>3</v>
      </c>
      <c r="G29" s="7">
        <v>3</v>
      </c>
      <c r="H29" s="7">
        <v>4</v>
      </c>
      <c r="I29" s="7">
        <v>5</v>
      </c>
      <c r="J29" s="7">
        <v>3</v>
      </c>
      <c r="K29" s="7">
        <v>2</v>
      </c>
      <c r="L29" s="7">
        <v>3</v>
      </c>
      <c r="M29" s="8">
        <v>3</v>
      </c>
    </row>
    <row r="30" spans="1:13" ht="15.75" customHeight="1" x14ac:dyDescent="0.25">
      <c r="A30" s="9">
        <v>5</v>
      </c>
      <c r="B30" s="10">
        <v>5</v>
      </c>
      <c r="C30" s="10">
        <v>5</v>
      </c>
      <c r="D30" s="10">
        <v>4</v>
      </c>
      <c r="E30" s="10">
        <v>4</v>
      </c>
      <c r="F30" s="10">
        <v>4</v>
      </c>
      <c r="G30" s="10">
        <v>5</v>
      </c>
      <c r="H30" s="10">
        <v>4</v>
      </c>
      <c r="I30" s="10">
        <v>4</v>
      </c>
      <c r="J30" s="10">
        <v>3</v>
      </c>
      <c r="K30" s="10">
        <v>4</v>
      </c>
      <c r="L30" s="10">
        <v>2</v>
      </c>
      <c r="M30" s="11">
        <v>2</v>
      </c>
    </row>
    <row r="31" spans="1:13" ht="15.75" customHeight="1" x14ac:dyDescent="0.25">
      <c r="A31" s="12">
        <f t="shared" ref="A31:M31" si="0">GEOMEAN(A4:A30)</f>
        <v>4.2079493810673725</v>
      </c>
      <c r="B31" s="12">
        <f t="shared" si="0"/>
        <v>3.7932954098064138</v>
      </c>
      <c r="C31" s="12">
        <f t="shared" si="0"/>
        <v>4.299507445586519</v>
      </c>
      <c r="D31" s="12">
        <f t="shared" si="0"/>
        <v>3.5909147037927647</v>
      </c>
      <c r="E31" s="12">
        <f t="shared" si="0"/>
        <v>4.278081229030998</v>
      </c>
      <c r="F31" s="12">
        <f t="shared" si="0"/>
        <v>4.3493819304321013</v>
      </c>
      <c r="G31" s="12">
        <f t="shared" si="0"/>
        <v>4.2576781092051688</v>
      </c>
      <c r="H31" s="12">
        <f t="shared" si="0"/>
        <v>4.065840374528177</v>
      </c>
      <c r="I31" s="12">
        <f t="shared" si="0"/>
        <v>4.0622705495895532</v>
      </c>
      <c r="J31" s="12">
        <f t="shared" si="0"/>
        <v>3.6350235014074328</v>
      </c>
      <c r="K31" s="12">
        <f t="shared" si="0"/>
        <v>3.7990349284809537</v>
      </c>
      <c r="L31" s="12">
        <f t="shared" si="0"/>
        <v>3.7027469032610671</v>
      </c>
      <c r="M31" s="12">
        <f t="shared" si="0"/>
        <v>3.4567304064436075</v>
      </c>
    </row>
    <row r="32" spans="1:13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4" spans="1:13" ht="15.75" customHeight="1" x14ac:dyDescent="0.3">
      <c r="A34" s="55" t="s">
        <v>14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4"/>
    </row>
    <row r="35" spans="1:13" ht="15.75" customHeight="1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2" t="s">
        <v>13</v>
      </c>
    </row>
    <row r="36" spans="1:13" ht="15.75" customHeight="1" x14ac:dyDescent="0.25">
      <c r="A36" s="13">
        <v>5</v>
      </c>
      <c r="B36" s="14">
        <v>3</v>
      </c>
      <c r="C36" s="14">
        <v>3</v>
      </c>
      <c r="D36" s="14">
        <v>3</v>
      </c>
      <c r="E36" s="14">
        <v>4</v>
      </c>
      <c r="F36" s="14">
        <v>4</v>
      </c>
      <c r="G36" s="14">
        <v>3</v>
      </c>
      <c r="H36" s="14">
        <v>4</v>
      </c>
      <c r="I36" s="14">
        <v>4</v>
      </c>
      <c r="J36" s="14">
        <v>3</v>
      </c>
      <c r="K36" s="14">
        <v>4</v>
      </c>
      <c r="L36" s="14">
        <v>2</v>
      </c>
      <c r="M36" s="15">
        <v>2</v>
      </c>
    </row>
    <row r="37" spans="1:13" ht="15.75" customHeight="1" x14ac:dyDescent="0.25">
      <c r="A37" s="13">
        <v>5</v>
      </c>
      <c r="B37" s="14">
        <v>5</v>
      </c>
      <c r="C37" s="14">
        <v>4</v>
      </c>
      <c r="D37" s="14">
        <v>5</v>
      </c>
      <c r="E37" s="14">
        <v>5</v>
      </c>
      <c r="F37" s="14">
        <v>5</v>
      </c>
      <c r="G37" s="14">
        <v>5</v>
      </c>
      <c r="H37" s="14">
        <v>5</v>
      </c>
      <c r="I37" s="14">
        <v>5</v>
      </c>
      <c r="J37" s="14">
        <v>4</v>
      </c>
      <c r="K37" s="14">
        <v>5</v>
      </c>
      <c r="L37" s="14">
        <v>3</v>
      </c>
      <c r="M37" s="15">
        <v>3</v>
      </c>
    </row>
    <row r="38" spans="1:13" ht="15.75" customHeight="1" x14ac:dyDescent="0.25">
      <c r="A38" s="16">
        <v>4</v>
      </c>
      <c r="B38" s="17">
        <v>4</v>
      </c>
      <c r="C38" s="17">
        <v>3</v>
      </c>
      <c r="D38" s="17">
        <v>2</v>
      </c>
      <c r="E38" s="17">
        <v>5</v>
      </c>
      <c r="F38" s="17">
        <v>5</v>
      </c>
      <c r="G38" s="17">
        <v>4</v>
      </c>
      <c r="H38" s="17">
        <v>5</v>
      </c>
      <c r="I38" s="17">
        <v>5</v>
      </c>
      <c r="J38" s="17">
        <v>2</v>
      </c>
      <c r="K38" s="17">
        <v>5</v>
      </c>
      <c r="L38" s="17">
        <v>3</v>
      </c>
      <c r="M38" s="18">
        <v>3</v>
      </c>
    </row>
    <row r="39" spans="1:13" ht="15.75" customHeight="1" x14ac:dyDescent="0.25">
      <c r="A39" s="19">
        <f t="shared" ref="A39:M39" si="1">GEOMEAN(A36:A38)</f>
        <v>4.6415888336127793</v>
      </c>
      <c r="B39" s="19">
        <f t="shared" si="1"/>
        <v>3.9148676411688634</v>
      </c>
      <c r="C39" s="19">
        <f t="shared" si="1"/>
        <v>3.3019272488946267</v>
      </c>
      <c r="D39" s="19">
        <f t="shared" si="1"/>
        <v>3.1072325059538586</v>
      </c>
      <c r="E39" s="19">
        <f t="shared" si="1"/>
        <v>4.6415888336127793</v>
      </c>
      <c r="F39" s="19">
        <f t="shared" si="1"/>
        <v>4.6415888336127793</v>
      </c>
      <c r="G39" s="19">
        <f t="shared" si="1"/>
        <v>3.9148676411688634</v>
      </c>
      <c r="H39" s="19">
        <f t="shared" si="1"/>
        <v>4.6415888336127793</v>
      </c>
      <c r="I39" s="19">
        <f t="shared" si="1"/>
        <v>4.6415888336127793</v>
      </c>
      <c r="J39" s="19">
        <f t="shared" si="1"/>
        <v>2.8844991406148166</v>
      </c>
      <c r="K39" s="19">
        <f t="shared" si="1"/>
        <v>4.6415888336127793</v>
      </c>
      <c r="L39" s="19">
        <f t="shared" si="1"/>
        <v>2.6207413942088964</v>
      </c>
      <c r="M39" s="19">
        <f t="shared" si="1"/>
        <v>2.6207413942088964</v>
      </c>
    </row>
    <row r="42" spans="1:13" ht="15.75" customHeight="1" x14ac:dyDescent="0.3">
      <c r="A42" s="55" t="s">
        <v>15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15.75" customHeight="1" x14ac:dyDescent="0.25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</row>
    <row r="44" spans="1:13" ht="15.75" customHeight="1" x14ac:dyDescent="0.25">
      <c r="A44" s="20">
        <v>4</v>
      </c>
      <c r="B44" s="21">
        <v>4</v>
      </c>
      <c r="C44" s="21">
        <v>4</v>
      </c>
      <c r="D44" s="21">
        <v>4</v>
      </c>
      <c r="E44" s="21">
        <v>3</v>
      </c>
      <c r="F44" s="21">
        <v>3</v>
      </c>
      <c r="G44" s="21">
        <v>4</v>
      </c>
      <c r="H44" s="21">
        <v>4</v>
      </c>
      <c r="I44" s="21">
        <v>4</v>
      </c>
      <c r="J44" s="21">
        <v>4</v>
      </c>
      <c r="K44" s="21">
        <v>3</v>
      </c>
      <c r="L44" s="21">
        <v>3</v>
      </c>
      <c r="M44" s="22">
        <v>4</v>
      </c>
    </row>
    <row r="45" spans="1:13" ht="15.75" customHeight="1" x14ac:dyDescent="0.25">
      <c r="A45" s="13">
        <v>4</v>
      </c>
      <c r="B45" s="14">
        <v>4</v>
      </c>
      <c r="C45" s="14">
        <v>4</v>
      </c>
      <c r="D45" s="14">
        <v>3</v>
      </c>
      <c r="E45" s="14">
        <v>4</v>
      </c>
      <c r="F45" s="14">
        <v>4</v>
      </c>
      <c r="G45" s="14">
        <v>4</v>
      </c>
      <c r="H45" s="14">
        <v>4</v>
      </c>
      <c r="I45" s="14">
        <v>2</v>
      </c>
      <c r="J45" s="14">
        <v>3</v>
      </c>
      <c r="K45" s="14">
        <v>3</v>
      </c>
      <c r="L45" s="14">
        <v>1</v>
      </c>
      <c r="M45" s="15">
        <v>1</v>
      </c>
    </row>
    <row r="46" spans="1:13" ht="12.5" x14ac:dyDescent="0.25">
      <c r="A46" s="13">
        <v>5</v>
      </c>
      <c r="B46" s="14">
        <v>5</v>
      </c>
      <c r="C46" s="14">
        <v>2</v>
      </c>
      <c r="D46" s="14">
        <v>3</v>
      </c>
      <c r="E46" s="14">
        <v>4</v>
      </c>
      <c r="F46" s="14">
        <v>3</v>
      </c>
      <c r="G46" s="14">
        <v>5</v>
      </c>
      <c r="H46" s="14">
        <v>5</v>
      </c>
      <c r="I46" s="14">
        <v>3</v>
      </c>
      <c r="J46" s="14">
        <v>3</v>
      </c>
      <c r="K46" s="14">
        <v>5</v>
      </c>
      <c r="L46" s="14">
        <v>2</v>
      </c>
      <c r="M46" s="15">
        <v>5</v>
      </c>
    </row>
    <row r="47" spans="1:13" ht="12.5" x14ac:dyDescent="0.25">
      <c r="A47" s="16">
        <v>2</v>
      </c>
      <c r="B47" s="17">
        <v>2</v>
      </c>
      <c r="C47" s="17">
        <v>2</v>
      </c>
      <c r="D47" s="17">
        <v>2</v>
      </c>
      <c r="E47" s="17">
        <v>2</v>
      </c>
      <c r="F47" s="17">
        <v>2</v>
      </c>
      <c r="G47" s="17">
        <v>2</v>
      </c>
      <c r="H47" s="17">
        <v>2</v>
      </c>
      <c r="I47" s="17">
        <v>2</v>
      </c>
      <c r="J47" s="17">
        <v>2</v>
      </c>
      <c r="K47" s="17">
        <v>2</v>
      </c>
      <c r="L47" s="17">
        <v>2</v>
      </c>
      <c r="M47" s="18">
        <v>2</v>
      </c>
    </row>
    <row r="48" spans="1:13" ht="12.5" x14ac:dyDescent="0.25">
      <c r="A48" s="19">
        <f t="shared" ref="A48:M48" si="2">GEOMEAN(A44:A47)</f>
        <v>3.556558820077846</v>
      </c>
      <c r="B48" s="19">
        <f t="shared" si="2"/>
        <v>3.556558820077846</v>
      </c>
      <c r="C48" s="19">
        <f t="shared" si="2"/>
        <v>2.8284271247461898</v>
      </c>
      <c r="D48" s="19">
        <f t="shared" si="2"/>
        <v>2.9129506302439405</v>
      </c>
      <c r="E48" s="19">
        <f t="shared" si="2"/>
        <v>3.1301691601465746</v>
      </c>
      <c r="F48" s="19">
        <f t="shared" si="2"/>
        <v>2.9129506302439405</v>
      </c>
      <c r="G48" s="19">
        <f t="shared" si="2"/>
        <v>3.556558820077846</v>
      </c>
      <c r="H48" s="19">
        <f t="shared" si="2"/>
        <v>3.556558820077846</v>
      </c>
      <c r="I48" s="19">
        <f t="shared" si="2"/>
        <v>2.6321480259049852</v>
      </c>
      <c r="J48" s="19">
        <f t="shared" si="2"/>
        <v>2.9129506302439405</v>
      </c>
      <c r="K48" s="19">
        <f t="shared" si="2"/>
        <v>3.0800702882410231</v>
      </c>
      <c r="L48" s="19">
        <f t="shared" si="2"/>
        <v>1.8612097182041991</v>
      </c>
      <c r="M48" s="19">
        <f t="shared" si="2"/>
        <v>2.514866859365871</v>
      </c>
    </row>
    <row r="51" spans="1:13" ht="12.5" x14ac:dyDescent="0.25">
      <c r="A51" s="52" t="s">
        <v>16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4"/>
    </row>
    <row r="52" spans="1:13" ht="12.5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  <c r="L52" s="2" t="s">
        <v>12</v>
      </c>
      <c r="M52" s="2" t="s">
        <v>13</v>
      </c>
    </row>
    <row r="53" spans="1:13" ht="12.5" x14ac:dyDescent="0.25">
      <c r="A53" s="20">
        <v>4</v>
      </c>
      <c r="B53" s="21">
        <v>3</v>
      </c>
      <c r="C53" s="21">
        <v>4</v>
      </c>
      <c r="D53" s="21">
        <v>3</v>
      </c>
      <c r="E53" s="21">
        <v>4</v>
      </c>
      <c r="F53" s="21">
        <v>4</v>
      </c>
      <c r="G53" s="21">
        <v>4</v>
      </c>
      <c r="H53" s="21">
        <v>3</v>
      </c>
      <c r="I53" s="21">
        <v>3</v>
      </c>
      <c r="J53" s="21">
        <v>4</v>
      </c>
      <c r="K53" s="21">
        <v>3</v>
      </c>
      <c r="L53" s="21">
        <v>1</v>
      </c>
      <c r="M53" s="22">
        <v>1</v>
      </c>
    </row>
    <row r="54" spans="1:13" ht="12.5" x14ac:dyDescent="0.25">
      <c r="A54" s="16">
        <v>5</v>
      </c>
      <c r="B54" s="17">
        <v>4</v>
      </c>
      <c r="C54" s="17">
        <v>4</v>
      </c>
      <c r="D54" s="17">
        <v>5</v>
      </c>
      <c r="E54" s="17">
        <v>5</v>
      </c>
      <c r="F54" s="17">
        <v>5</v>
      </c>
      <c r="G54" s="17">
        <v>5</v>
      </c>
      <c r="H54" s="17">
        <v>3</v>
      </c>
      <c r="I54" s="17">
        <v>5</v>
      </c>
      <c r="J54" s="17">
        <v>2</v>
      </c>
      <c r="K54" s="17">
        <v>5</v>
      </c>
      <c r="L54" s="17">
        <v>2</v>
      </c>
      <c r="M54" s="18">
        <v>3</v>
      </c>
    </row>
    <row r="55" spans="1:13" ht="12.5" x14ac:dyDescent="0.25">
      <c r="A55" s="19">
        <f t="shared" ref="A55:M55" si="3">GEOMEAN(A53:A54)</f>
        <v>4.4721359549995796</v>
      </c>
      <c r="B55" s="19">
        <f t="shared" si="3"/>
        <v>3.4641016151377548</v>
      </c>
      <c r="C55" s="19">
        <f t="shared" si="3"/>
        <v>4</v>
      </c>
      <c r="D55" s="19">
        <f t="shared" si="3"/>
        <v>3.872983346207417</v>
      </c>
      <c r="E55" s="19">
        <f t="shared" si="3"/>
        <v>4.4721359549995796</v>
      </c>
      <c r="F55" s="19">
        <f t="shared" si="3"/>
        <v>4.4721359549995796</v>
      </c>
      <c r="G55" s="19">
        <f t="shared" si="3"/>
        <v>4.4721359549995796</v>
      </c>
      <c r="H55" s="19">
        <f t="shared" si="3"/>
        <v>3</v>
      </c>
      <c r="I55" s="19">
        <f t="shared" si="3"/>
        <v>3.872983346207417</v>
      </c>
      <c r="J55" s="19">
        <f t="shared" si="3"/>
        <v>2.8284271247461898</v>
      </c>
      <c r="K55" s="19">
        <f t="shared" si="3"/>
        <v>3.872983346207417</v>
      </c>
      <c r="L55" s="19">
        <f t="shared" si="3"/>
        <v>1.4142135623730949</v>
      </c>
      <c r="M55" s="19">
        <f t="shared" si="3"/>
        <v>1.7320508075688774</v>
      </c>
    </row>
    <row r="58" spans="1:13" ht="12.5" x14ac:dyDescent="0.25">
      <c r="A58" s="52" t="s">
        <v>17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12.5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</row>
    <row r="60" spans="1:13" ht="12.5" x14ac:dyDescent="0.25">
      <c r="A60" s="20">
        <v>2</v>
      </c>
      <c r="B60" s="21">
        <v>2</v>
      </c>
      <c r="C60" s="21">
        <v>2</v>
      </c>
      <c r="D60" s="21">
        <v>2</v>
      </c>
      <c r="E60" s="21">
        <v>2</v>
      </c>
      <c r="F60" s="21">
        <v>2</v>
      </c>
      <c r="G60" s="21">
        <v>2</v>
      </c>
      <c r="H60" s="21">
        <v>2</v>
      </c>
      <c r="I60" s="21">
        <v>2</v>
      </c>
      <c r="J60" s="21">
        <v>2</v>
      </c>
      <c r="K60" s="21">
        <v>2</v>
      </c>
      <c r="L60" s="21">
        <v>2</v>
      </c>
      <c r="M60" s="22">
        <v>2</v>
      </c>
    </row>
    <row r="61" spans="1:13" ht="12.5" x14ac:dyDescent="0.25">
      <c r="A61" s="16">
        <v>4</v>
      </c>
      <c r="B61" s="17">
        <v>3</v>
      </c>
      <c r="C61" s="17">
        <v>3</v>
      </c>
      <c r="D61" s="17">
        <v>4</v>
      </c>
      <c r="E61" s="17">
        <v>3</v>
      </c>
      <c r="F61" s="17">
        <v>4</v>
      </c>
      <c r="G61" s="17">
        <v>2</v>
      </c>
      <c r="H61" s="17">
        <v>4</v>
      </c>
      <c r="I61" s="17">
        <v>4</v>
      </c>
      <c r="J61" s="17">
        <v>3</v>
      </c>
      <c r="K61" s="17">
        <v>3</v>
      </c>
      <c r="L61" s="17">
        <v>3</v>
      </c>
      <c r="M61" s="18">
        <v>4</v>
      </c>
    </row>
    <row r="62" spans="1:13" ht="12.5" x14ac:dyDescent="0.25">
      <c r="A62" s="19">
        <f t="shared" ref="A62:M62" si="4">GEOMEAN(A60:A61)</f>
        <v>2.8284271247461898</v>
      </c>
      <c r="B62" s="19">
        <f t="shared" si="4"/>
        <v>2.4494897427831779</v>
      </c>
      <c r="C62" s="19">
        <f t="shared" si="4"/>
        <v>2.4494897427831779</v>
      </c>
      <c r="D62" s="19">
        <f t="shared" si="4"/>
        <v>2.8284271247461898</v>
      </c>
      <c r="E62" s="19">
        <f t="shared" si="4"/>
        <v>2.4494897427831779</v>
      </c>
      <c r="F62" s="19">
        <f t="shared" si="4"/>
        <v>2.8284271247461898</v>
      </c>
      <c r="G62" s="19">
        <f t="shared" si="4"/>
        <v>2</v>
      </c>
      <c r="H62" s="19">
        <f t="shared" si="4"/>
        <v>2.8284271247461898</v>
      </c>
      <c r="I62" s="19">
        <f t="shared" si="4"/>
        <v>2.8284271247461898</v>
      </c>
      <c r="J62" s="19">
        <f t="shared" si="4"/>
        <v>2.4494897427831779</v>
      </c>
      <c r="K62" s="19">
        <f t="shared" si="4"/>
        <v>2.4494897427831779</v>
      </c>
      <c r="L62" s="19">
        <f t="shared" si="4"/>
        <v>2.4494897427831779</v>
      </c>
      <c r="M62" s="19">
        <f t="shared" si="4"/>
        <v>2.8284271247461898</v>
      </c>
    </row>
    <row r="65" spans="1:13" ht="12.5" x14ac:dyDescent="0.25">
      <c r="A65" s="52" t="s">
        <v>18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4"/>
    </row>
    <row r="66" spans="1:13" ht="12.5" x14ac:dyDescent="0.25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  <c r="G66" s="2" t="s">
        <v>7</v>
      </c>
      <c r="H66" s="2" t="s">
        <v>8</v>
      </c>
      <c r="I66" s="2" t="s">
        <v>9</v>
      </c>
      <c r="J66" s="2" t="s">
        <v>10</v>
      </c>
      <c r="K66" s="2" t="s">
        <v>11</v>
      </c>
      <c r="L66" s="2" t="s">
        <v>12</v>
      </c>
      <c r="M66" s="2" t="s">
        <v>13</v>
      </c>
    </row>
    <row r="67" spans="1:13" ht="12.5" x14ac:dyDescent="0.25">
      <c r="A67" s="23">
        <v>4</v>
      </c>
      <c r="B67" s="24">
        <v>4</v>
      </c>
      <c r="C67" s="24">
        <v>2</v>
      </c>
      <c r="D67" s="24">
        <v>4</v>
      </c>
      <c r="E67" s="24">
        <v>4</v>
      </c>
      <c r="F67" s="24">
        <v>4</v>
      </c>
      <c r="G67" s="24">
        <v>4</v>
      </c>
      <c r="H67" s="24">
        <v>4</v>
      </c>
      <c r="I67" s="24">
        <v>4</v>
      </c>
      <c r="J67" s="24">
        <v>3</v>
      </c>
      <c r="K67" s="24">
        <v>4</v>
      </c>
      <c r="L67" s="24">
        <v>2</v>
      </c>
      <c r="M67" s="25">
        <v>3</v>
      </c>
    </row>
    <row r="70" spans="1:13" ht="12.5" x14ac:dyDescent="0.25">
      <c r="A70" s="52" t="s">
        <v>19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4"/>
    </row>
    <row r="71" spans="1:13" ht="12.5" x14ac:dyDescent="0.25">
      <c r="A71" s="2" t="s">
        <v>1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2" t="s">
        <v>12</v>
      </c>
      <c r="M71" s="2" t="s">
        <v>13</v>
      </c>
    </row>
    <row r="72" spans="1:13" ht="13" x14ac:dyDescent="0.3">
      <c r="A72" s="26">
        <v>4</v>
      </c>
      <c r="B72" s="27">
        <v>4</v>
      </c>
      <c r="C72" s="27">
        <v>3</v>
      </c>
      <c r="D72" s="27">
        <v>4</v>
      </c>
      <c r="E72" s="27">
        <v>4</v>
      </c>
      <c r="F72" s="27">
        <v>4</v>
      </c>
      <c r="G72" s="27">
        <v>4</v>
      </c>
      <c r="H72" s="27">
        <v>4</v>
      </c>
      <c r="I72" s="27">
        <v>4</v>
      </c>
      <c r="J72" s="27">
        <v>4</v>
      </c>
      <c r="K72" s="27">
        <v>4</v>
      </c>
      <c r="L72" s="27">
        <v>3</v>
      </c>
      <c r="M72" s="28">
        <v>3</v>
      </c>
    </row>
    <row r="75" spans="1:13" ht="12.5" x14ac:dyDescent="0.25">
      <c r="A75" s="52" t="s">
        <v>20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4"/>
    </row>
    <row r="76" spans="1:13" ht="12.5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</row>
    <row r="77" spans="1:13" ht="12.5" x14ac:dyDescent="0.25">
      <c r="A77" s="23">
        <v>3</v>
      </c>
      <c r="B77" s="24">
        <v>3</v>
      </c>
      <c r="C77" s="24">
        <v>3</v>
      </c>
      <c r="D77" s="24">
        <v>3</v>
      </c>
      <c r="E77" s="24">
        <v>4</v>
      </c>
      <c r="F77" s="24">
        <v>3</v>
      </c>
      <c r="G77" s="24">
        <v>4</v>
      </c>
      <c r="H77" s="24">
        <v>4</v>
      </c>
      <c r="I77" s="24">
        <v>4</v>
      </c>
      <c r="J77" s="24">
        <v>4</v>
      </c>
      <c r="K77" s="24">
        <v>4</v>
      </c>
      <c r="L77" s="24">
        <v>3</v>
      </c>
      <c r="M77" s="25">
        <v>2</v>
      </c>
    </row>
    <row r="80" spans="1:13" ht="12.5" x14ac:dyDescent="0.25">
      <c r="A80" s="52" t="s">
        <v>21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4"/>
    </row>
    <row r="81" spans="1:13" ht="12.5" x14ac:dyDescent="0.25">
      <c r="A81" s="2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  <c r="G81" s="2" t="s">
        <v>7</v>
      </c>
      <c r="H81" s="2" t="s">
        <v>8</v>
      </c>
      <c r="I81" s="2" t="s">
        <v>9</v>
      </c>
      <c r="J81" s="2" t="s">
        <v>10</v>
      </c>
      <c r="K81" s="2" t="s">
        <v>11</v>
      </c>
      <c r="L81" s="2" t="s">
        <v>12</v>
      </c>
      <c r="M81" s="2" t="s">
        <v>13</v>
      </c>
    </row>
    <row r="82" spans="1:13" ht="12.5" x14ac:dyDescent="0.25">
      <c r="A82" s="23">
        <v>2</v>
      </c>
      <c r="B82" s="24">
        <v>2</v>
      </c>
      <c r="C82" s="24">
        <v>3</v>
      </c>
      <c r="D82" s="24">
        <v>3</v>
      </c>
      <c r="E82" s="24">
        <v>3</v>
      </c>
      <c r="F82" s="24">
        <v>2</v>
      </c>
      <c r="G82" s="24">
        <v>3</v>
      </c>
      <c r="H82" s="24">
        <v>2</v>
      </c>
      <c r="I82" s="24">
        <v>3</v>
      </c>
      <c r="J82" s="24">
        <v>3</v>
      </c>
      <c r="K82" s="24">
        <v>3</v>
      </c>
      <c r="L82" s="24">
        <v>3</v>
      </c>
      <c r="M82" s="25">
        <v>3</v>
      </c>
    </row>
    <row r="85" spans="1:13" ht="12.5" x14ac:dyDescent="0.25">
      <c r="A85" s="52" t="s">
        <v>22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4"/>
    </row>
    <row r="86" spans="1:13" ht="12.5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2" t="s">
        <v>9</v>
      </c>
      <c r="J86" s="2" t="s">
        <v>10</v>
      </c>
      <c r="K86" s="2" t="s">
        <v>11</v>
      </c>
      <c r="L86" s="2" t="s">
        <v>12</v>
      </c>
      <c r="M86" s="2" t="s">
        <v>13</v>
      </c>
    </row>
    <row r="87" spans="1:13" ht="12.5" x14ac:dyDescent="0.25">
      <c r="A87" s="20">
        <v>4</v>
      </c>
      <c r="B87" s="21">
        <v>4</v>
      </c>
      <c r="C87" s="21">
        <v>3</v>
      </c>
      <c r="D87" s="21">
        <v>4</v>
      </c>
      <c r="E87" s="21">
        <v>4</v>
      </c>
      <c r="F87" s="21">
        <v>4</v>
      </c>
      <c r="G87" s="21">
        <v>3</v>
      </c>
      <c r="H87" s="21">
        <v>4</v>
      </c>
      <c r="I87" s="21">
        <v>4</v>
      </c>
      <c r="J87" s="21">
        <v>4</v>
      </c>
      <c r="K87" s="21">
        <v>3</v>
      </c>
      <c r="L87" s="21">
        <v>4</v>
      </c>
      <c r="M87" s="22">
        <v>4</v>
      </c>
    </row>
    <row r="88" spans="1:13" ht="12.5" x14ac:dyDescent="0.25">
      <c r="A88" s="13">
        <v>4</v>
      </c>
      <c r="B88" s="14">
        <v>4</v>
      </c>
      <c r="C88" s="14">
        <v>4</v>
      </c>
      <c r="D88" s="14">
        <v>4</v>
      </c>
      <c r="E88" s="14">
        <v>4</v>
      </c>
      <c r="F88" s="14">
        <v>4</v>
      </c>
      <c r="G88" s="14">
        <v>4</v>
      </c>
      <c r="H88" s="14">
        <v>4</v>
      </c>
      <c r="I88" s="14">
        <v>4</v>
      </c>
      <c r="J88" s="14">
        <v>4</v>
      </c>
      <c r="K88" s="14">
        <v>4</v>
      </c>
      <c r="L88" s="14">
        <v>4</v>
      </c>
      <c r="M88" s="15">
        <v>4</v>
      </c>
    </row>
    <row r="89" spans="1:13" ht="12.5" x14ac:dyDescent="0.25">
      <c r="A89" s="16">
        <v>4</v>
      </c>
      <c r="B89" s="17">
        <v>3</v>
      </c>
      <c r="C89" s="17">
        <v>3</v>
      </c>
      <c r="D89" s="17">
        <v>4</v>
      </c>
      <c r="E89" s="17">
        <v>3</v>
      </c>
      <c r="F89" s="17">
        <v>3</v>
      </c>
      <c r="G89" s="17">
        <v>4</v>
      </c>
      <c r="H89" s="17">
        <v>4</v>
      </c>
      <c r="I89" s="17">
        <v>3</v>
      </c>
      <c r="J89" s="17">
        <v>3</v>
      </c>
      <c r="K89" s="17">
        <v>4</v>
      </c>
      <c r="L89" s="17">
        <v>3</v>
      </c>
      <c r="M89" s="18">
        <v>4</v>
      </c>
    </row>
    <row r="90" spans="1:13" ht="12.5" x14ac:dyDescent="0.25">
      <c r="A90" s="19">
        <f t="shared" ref="A90:M90" si="5">GEOMEAN(A87:A89)</f>
        <v>4</v>
      </c>
      <c r="B90" s="19">
        <f t="shared" si="5"/>
        <v>3.6342411856642793</v>
      </c>
      <c r="C90" s="19">
        <f t="shared" si="5"/>
        <v>3.3019272488946267</v>
      </c>
      <c r="D90" s="19">
        <f t="shared" si="5"/>
        <v>4</v>
      </c>
      <c r="E90" s="19">
        <f t="shared" si="5"/>
        <v>3.6342411856642793</v>
      </c>
      <c r="F90" s="19">
        <f t="shared" si="5"/>
        <v>3.6342411856642793</v>
      </c>
      <c r="G90" s="19">
        <f t="shared" si="5"/>
        <v>3.6342411856642793</v>
      </c>
      <c r="H90" s="19">
        <f t="shared" si="5"/>
        <v>4</v>
      </c>
      <c r="I90" s="19">
        <f t="shared" si="5"/>
        <v>3.6342411856642793</v>
      </c>
      <c r="J90" s="19">
        <f t="shared" si="5"/>
        <v>3.6342411856642793</v>
      </c>
      <c r="K90" s="19">
        <f t="shared" si="5"/>
        <v>3.6342411856642793</v>
      </c>
      <c r="L90" s="19">
        <f t="shared" si="5"/>
        <v>3.6342411856642793</v>
      </c>
      <c r="M90" s="19">
        <f t="shared" si="5"/>
        <v>4</v>
      </c>
    </row>
  </sheetData>
  <mergeCells count="10">
    <mergeCell ref="A75:M75"/>
    <mergeCell ref="A80:M80"/>
    <mergeCell ref="A85:M85"/>
    <mergeCell ref="A2:M2"/>
    <mergeCell ref="A34:M34"/>
    <mergeCell ref="A42:M42"/>
    <mergeCell ref="A51:M51"/>
    <mergeCell ref="A58:M58"/>
    <mergeCell ref="A65:M65"/>
    <mergeCell ref="A70:M70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P119"/>
  <sheetViews>
    <sheetView tabSelected="1" topLeftCell="U3" zoomScale="68" workbookViewId="0">
      <selection activeCell="AH16" sqref="AH16"/>
    </sheetView>
  </sheetViews>
  <sheetFormatPr defaultColWidth="12.6328125" defaultRowHeight="15.75" customHeight="1" x14ac:dyDescent="0.25"/>
  <sheetData>
    <row r="1" spans="1:42" ht="15.75" customHeight="1" x14ac:dyDescent="0.3">
      <c r="A1" s="56" t="s">
        <v>23</v>
      </c>
      <c r="B1" s="57"/>
      <c r="C1" s="57"/>
      <c r="D1" s="57"/>
      <c r="E1" s="57"/>
      <c r="F1" s="57"/>
      <c r="G1" s="57"/>
    </row>
    <row r="2" spans="1:42" ht="15.75" customHeight="1" x14ac:dyDescent="0.25">
      <c r="A2" s="72" t="s">
        <v>24</v>
      </c>
      <c r="B2" s="72"/>
      <c r="C2" s="72"/>
      <c r="D2" s="72"/>
      <c r="E2" s="72"/>
      <c r="F2" s="72"/>
      <c r="G2" s="72"/>
    </row>
    <row r="3" spans="1:42" ht="15.75" customHeight="1" x14ac:dyDescent="0.25">
      <c r="A3" s="72"/>
      <c r="B3" s="72"/>
      <c r="C3" s="72"/>
      <c r="D3" s="72"/>
      <c r="E3" s="72"/>
      <c r="F3" s="72"/>
      <c r="G3" s="72"/>
      <c r="AH3" s="29"/>
      <c r="AI3" s="29"/>
      <c r="AJ3" s="29"/>
      <c r="AK3" s="29"/>
      <c r="AL3" s="29"/>
      <c r="AM3" s="29"/>
      <c r="AN3" s="29"/>
      <c r="AO3" s="29"/>
      <c r="AP3" s="29"/>
    </row>
    <row r="4" spans="1:42" ht="15.75" customHeight="1" x14ac:dyDescent="0.25">
      <c r="A4" s="72"/>
      <c r="B4" s="72"/>
      <c r="C4" s="72"/>
      <c r="D4" s="72"/>
      <c r="E4" s="72"/>
      <c r="F4" s="72"/>
      <c r="G4" s="72"/>
      <c r="J4" s="58" t="s">
        <v>25</v>
      </c>
      <c r="K4" s="59"/>
      <c r="L4" s="59"/>
      <c r="M4" s="59"/>
      <c r="N4" s="59"/>
      <c r="O4" s="59"/>
      <c r="AB4" s="30"/>
      <c r="AC4" s="58" t="s">
        <v>26</v>
      </c>
      <c r="AD4" s="59"/>
      <c r="AE4" s="59"/>
      <c r="AF4" s="59"/>
      <c r="AG4" s="59"/>
      <c r="AH4" s="59"/>
      <c r="AI4" s="31"/>
      <c r="AJ4" s="31"/>
      <c r="AK4" s="31"/>
      <c r="AL4" s="31"/>
      <c r="AM4" s="31"/>
      <c r="AN4" s="31"/>
      <c r="AO4" s="31"/>
      <c r="AP4" s="31"/>
    </row>
    <row r="5" spans="1:42" ht="15.75" customHeight="1" x14ac:dyDescent="0.25">
      <c r="J5" s="59"/>
      <c r="K5" s="59"/>
      <c r="L5" s="59"/>
      <c r="M5" s="59"/>
      <c r="N5" s="59"/>
      <c r="O5" s="59"/>
      <c r="AB5" s="30"/>
      <c r="AC5" s="59"/>
      <c r="AD5" s="59"/>
      <c r="AE5" s="59"/>
      <c r="AF5" s="59"/>
      <c r="AG5" s="59"/>
      <c r="AH5" s="59"/>
      <c r="AI5" s="31"/>
      <c r="AJ5" s="31"/>
      <c r="AK5" s="31"/>
      <c r="AL5" s="31"/>
      <c r="AM5" s="31"/>
      <c r="AN5" s="31"/>
      <c r="AO5" s="31"/>
      <c r="AP5" s="31"/>
    </row>
    <row r="6" spans="1:42" ht="15.75" customHeight="1" x14ac:dyDescent="0.25">
      <c r="B6" s="60" t="s">
        <v>27</v>
      </c>
      <c r="C6" s="61"/>
      <c r="D6" s="61"/>
      <c r="E6" s="62"/>
    </row>
    <row r="7" spans="1:42" ht="15.75" customHeight="1" x14ac:dyDescent="0.25">
      <c r="B7" s="63"/>
      <c r="C7" s="64"/>
      <c r="D7" s="64"/>
      <c r="E7" s="65"/>
    </row>
    <row r="8" spans="1:42" ht="15.75" customHeight="1" x14ac:dyDescent="0.25">
      <c r="J8" s="66" t="s">
        <v>28</v>
      </c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2"/>
      <c r="AB8" s="32"/>
      <c r="AC8" s="66" t="s">
        <v>29</v>
      </c>
      <c r="AD8" s="61"/>
      <c r="AE8" s="61"/>
      <c r="AF8" s="61"/>
      <c r="AG8" s="62"/>
      <c r="AH8" s="32"/>
      <c r="AI8" s="32"/>
      <c r="AJ8" s="32"/>
      <c r="AK8" s="32"/>
      <c r="AL8" s="32"/>
      <c r="AM8" s="32"/>
      <c r="AN8" s="32"/>
      <c r="AO8" s="32"/>
      <c r="AP8" s="32"/>
    </row>
    <row r="9" spans="1:42" ht="15.75" customHeight="1" x14ac:dyDescent="0.3">
      <c r="B9" s="70" t="s">
        <v>30</v>
      </c>
      <c r="C9" s="53"/>
      <c r="D9" s="53"/>
      <c r="E9" s="54"/>
      <c r="J9" s="63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5"/>
      <c r="AB9" s="32"/>
      <c r="AC9" s="63"/>
      <c r="AD9" s="64"/>
      <c r="AE9" s="64"/>
      <c r="AF9" s="64"/>
      <c r="AG9" s="65"/>
      <c r="AH9" s="32"/>
      <c r="AI9" s="32"/>
      <c r="AJ9" s="32"/>
      <c r="AK9" s="32"/>
      <c r="AL9" s="32"/>
      <c r="AM9" s="32"/>
      <c r="AN9" s="32"/>
      <c r="AO9" s="32"/>
      <c r="AP9" s="32"/>
    </row>
    <row r="10" spans="1:42" ht="15.75" customHeight="1" x14ac:dyDescent="0.3">
      <c r="B10" s="33" t="s">
        <v>31</v>
      </c>
      <c r="C10" s="71" t="s">
        <v>32</v>
      </c>
      <c r="D10" s="54"/>
      <c r="E10" s="33" t="s">
        <v>33</v>
      </c>
      <c r="J10" s="76" t="s">
        <v>78</v>
      </c>
      <c r="K10" s="67" t="s">
        <v>34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4"/>
      <c r="AC10" s="34" t="s">
        <v>78</v>
      </c>
      <c r="AD10" s="69" t="s">
        <v>35</v>
      </c>
      <c r="AE10" s="54"/>
      <c r="AF10" s="69" t="s">
        <v>36</v>
      </c>
      <c r="AG10" s="54"/>
    </row>
    <row r="11" spans="1:42" ht="15.75" customHeight="1" x14ac:dyDescent="0.3">
      <c r="B11" s="35" t="s">
        <v>37</v>
      </c>
      <c r="C11" s="68" t="s">
        <v>38</v>
      </c>
      <c r="D11" s="54"/>
      <c r="E11" s="35" t="s">
        <v>39</v>
      </c>
      <c r="J11" s="77"/>
      <c r="K11" s="36" t="s">
        <v>37</v>
      </c>
      <c r="L11" s="36" t="s">
        <v>40</v>
      </c>
      <c r="M11" s="36" t="s">
        <v>41</v>
      </c>
      <c r="N11" s="36" t="s">
        <v>42</v>
      </c>
      <c r="O11" s="36" t="s">
        <v>43</v>
      </c>
      <c r="P11" s="36" t="s">
        <v>44</v>
      </c>
      <c r="Q11" s="36" t="s">
        <v>45</v>
      </c>
      <c r="R11" s="36" t="s">
        <v>46</v>
      </c>
      <c r="S11" s="36" t="s">
        <v>47</v>
      </c>
      <c r="T11" s="36" t="s">
        <v>48</v>
      </c>
      <c r="U11" s="36" t="s">
        <v>49</v>
      </c>
      <c r="V11" s="36" t="s">
        <v>50</v>
      </c>
      <c r="W11" s="36" t="s">
        <v>51</v>
      </c>
      <c r="AA11" s="73"/>
      <c r="AB11" s="62"/>
      <c r="AC11" s="37" t="s">
        <v>52</v>
      </c>
      <c r="AD11" s="68">
        <f>L87/L97</f>
        <v>9.403484037848274E-2</v>
      </c>
      <c r="AE11" s="54"/>
      <c r="AF11" s="68">
        <f>POWER(AD11,1)</f>
        <v>9.403484037848274E-2</v>
      </c>
      <c r="AG11" s="54"/>
    </row>
    <row r="12" spans="1:42" ht="15.75" customHeight="1" x14ac:dyDescent="0.3">
      <c r="B12" s="35" t="s">
        <v>40</v>
      </c>
      <c r="C12" s="68" t="s">
        <v>53</v>
      </c>
      <c r="D12" s="54"/>
      <c r="E12" s="35" t="s">
        <v>39</v>
      </c>
      <c r="H12" s="78"/>
      <c r="I12" s="62"/>
      <c r="J12" s="37" t="s">
        <v>52</v>
      </c>
      <c r="K12" s="38">
        <v>4.2079493809999997</v>
      </c>
      <c r="L12" s="39">
        <v>3.7932954099999998</v>
      </c>
      <c r="M12" s="39">
        <v>4.2995074459999998</v>
      </c>
      <c r="N12" s="39">
        <v>3.5909147039999998</v>
      </c>
      <c r="O12" s="39">
        <v>4.2780812289999997</v>
      </c>
      <c r="P12" s="39">
        <v>4.3493819299999998</v>
      </c>
      <c r="Q12" s="39">
        <v>4.2576781090000004</v>
      </c>
      <c r="R12" s="39">
        <v>4.0658403749999996</v>
      </c>
      <c r="S12" s="40">
        <v>4.06227055</v>
      </c>
      <c r="T12" s="40">
        <v>3.635023501</v>
      </c>
      <c r="U12" s="39">
        <v>3.7990349280000002</v>
      </c>
      <c r="V12" s="39">
        <v>3.702746903</v>
      </c>
      <c r="W12" s="39">
        <v>3.4567304060000001</v>
      </c>
      <c r="AA12" s="74"/>
      <c r="AB12" s="75"/>
      <c r="AC12" s="37" t="s">
        <v>54</v>
      </c>
      <c r="AD12" s="68">
        <f>L88/L97</f>
        <v>9.7236252060705464E-2</v>
      </c>
      <c r="AE12" s="54"/>
      <c r="AF12" s="68">
        <f t="shared" ref="AF11:AF20" si="0">POWER(AD12,1)</f>
        <v>9.7236252060705464E-2</v>
      </c>
      <c r="AG12" s="54"/>
    </row>
    <row r="13" spans="1:42" ht="15.75" customHeight="1" x14ac:dyDescent="0.3">
      <c r="B13" s="35" t="s">
        <v>41</v>
      </c>
      <c r="C13" s="68" t="s">
        <v>55</v>
      </c>
      <c r="D13" s="54"/>
      <c r="E13" s="35" t="s">
        <v>39</v>
      </c>
      <c r="H13" s="74"/>
      <c r="I13" s="75"/>
      <c r="J13" s="37" t="s">
        <v>54</v>
      </c>
      <c r="K13" s="39">
        <v>4.6415888340000002</v>
      </c>
      <c r="L13" s="39">
        <v>3.9148676409999998</v>
      </c>
      <c r="M13" s="39">
        <v>3.3019272489999998</v>
      </c>
      <c r="N13" s="39">
        <v>3.1072325059999999</v>
      </c>
      <c r="O13" s="41">
        <v>4.6415888340000002</v>
      </c>
      <c r="P13" s="41">
        <v>4.6415888340000002</v>
      </c>
      <c r="Q13" s="39">
        <v>3.9148676409999998</v>
      </c>
      <c r="R13" s="41">
        <v>4.6415888340000002</v>
      </c>
      <c r="S13" s="39">
        <v>4.6415888340000002</v>
      </c>
      <c r="T13" s="39">
        <v>2.884499141</v>
      </c>
      <c r="U13" s="41">
        <v>4.6415888340000002</v>
      </c>
      <c r="V13" s="39">
        <v>2.6207413939999999</v>
      </c>
      <c r="W13" s="39">
        <v>2.6207413939999999</v>
      </c>
      <c r="AA13" s="74"/>
      <c r="AB13" s="75"/>
      <c r="AC13" s="37" t="s">
        <v>56</v>
      </c>
      <c r="AD13" s="68">
        <f>L89/L97</f>
        <v>0.10251508866117078</v>
      </c>
      <c r="AE13" s="54"/>
      <c r="AF13" s="68">
        <f t="shared" si="0"/>
        <v>0.10251508866117078</v>
      </c>
      <c r="AG13" s="54"/>
    </row>
    <row r="14" spans="1:42" ht="15.75" customHeight="1" x14ac:dyDescent="0.3">
      <c r="B14" s="35" t="s">
        <v>42</v>
      </c>
      <c r="C14" s="68" t="s">
        <v>4</v>
      </c>
      <c r="D14" s="54"/>
      <c r="E14" s="35" t="s">
        <v>39</v>
      </c>
      <c r="H14" s="74"/>
      <c r="I14" s="75"/>
      <c r="J14" s="37" t="s">
        <v>56</v>
      </c>
      <c r="K14" s="39">
        <v>3.5565588199999998</v>
      </c>
      <c r="L14" s="39">
        <v>3.5565588199999998</v>
      </c>
      <c r="M14" s="39">
        <v>2.8284271250000002</v>
      </c>
      <c r="N14" s="39">
        <v>2.9129506300000001</v>
      </c>
      <c r="O14" s="39">
        <v>3.1301691599999999</v>
      </c>
      <c r="P14" s="39">
        <v>2.9129506300000001</v>
      </c>
      <c r="Q14" s="39">
        <v>3.5565588199999998</v>
      </c>
      <c r="R14" s="39">
        <v>3.5565588199999998</v>
      </c>
      <c r="S14" s="39">
        <v>2.6321480259999999</v>
      </c>
      <c r="T14" s="39">
        <v>2.9129506300000001</v>
      </c>
      <c r="U14" s="39">
        <v>3.0800702879999999</v>
      </c>
      <c r="V14" s="39">
        <v>1.861209718</v>
      </c>
      <c r="W14" s="39">
        <v>2.5148668590000001</v>
      </c>
      <c r="AA14" s="74"/>
      <c r="AB14" s="75"/>
      <c r="AC14" s="37" t="s">
        <v>57</v>
      </c>
      <c r="AD14" s="68">
        <f>L90/L97</f>
        <v>0.10463481968789155</v>
      </c>
      <c r="AE14" s="54"/>
      <c r="AF14" s="68">
        <f t="shared" si="0"/>
        <v>0.10463481968789155</v>
      </c>
      <c r="AG14" s="54"/>
    </row>
    <row r="15" spans="1:42" ht="15.75" customHeight="1" x14ac:dyDescent="0.3">
      <c r="B15" s="35" t="s">
        <v>43</v>
      </c>
      <c r="C15" s="68" t="s">
        <v>58</v>
      </c>
      <c r="D15" s="54"/>
      <c r="E15" s="35" t="s">
        <v>39</v>
      </c>
      <c r="H15" s="74"/>
      <c r="I15" s="75"/>
      <c r="J15" s="37" t="s">
        <v>57</v>
      </c>
      <c r="K15" s="39">
        <v>4.4721359549999997</v>
      </c>
      <c r="L15" s="39">
        <v>3.4641016150000001</v>
      </c>
      <c r="M15" s="41">
        <v>4</v>
      </c>
      <c r="N15" s="39">
        <v>3.8729833459999998</v>
      </c>
      <c r="O15" s="39">
        <v>4.4721359549999997</v>
      </c>
      <c r="P15" s="39">
        <v>4.4721359549999997</v>
      </c>
      <c r="Q15" s="39">
        <v>4.4721359549999997</v>
      </c>
      <c r="R15" s="41">
        <v>3</v>
      </c>
      <c r="S15" s="39">
        <v>3.8729833459999998</v>
      </c>
      <c r="T15" s="39">
        <v>2.8284271250000002</v>
      </c>
      <c r="U15" s="39">
        <v>3.8729833459999998</v>
      </c>
      <c r="V15" s="39">
        <v>1.414213562</v>
      </c>
      <c r="W15" s="39">
        <v>1.7320508080000001</v>
      </c>
      <c r="AA15" s="74"/>
      <c r="AB15" s="75"/>
      <c r="AC15" s="37" t="s">
        <v>59</v>
      </c>
      <c r="AD15" s="68">
        <f>L91/L97</f>
        <v>0.10485448824114568</v>
      </c>
      <c r="AE15" s="54"/>
      <c r="AF15" s="68">
        <f t="shared" si="0"/>
        <v>0.10485448824114568</v>
      </c>
      <c r="AG15" s="54"/>
    </row>
    <row r="16" spans="1:42" ht="15.75" customHeight="1" x14ac:dyDescent="0.3">
      <c r="B16" s="35" t="s">
        <v>44</v>
      </c>
      <c r="C16" s="68" t="s">
        <v>60</v>
      </c>
      <c r="D16" s="54"/>
      <c r="E16" s="35" t="s">
        <v>39</v>
      </c>
      <c r="H16" s="74"/>
      <c r="I16" s="75"/>
      <c r="J16" s="37" t="s">
        <v>59</v>
      </c>
      <c r="K16" s="39">
        <v>2.8284271250000002</v>
      </c>
      <c r="L16" s="39">
        <v>2.449489743</v>
      </c>
      <c r="M16" s="39">
        <v>2.449489743</v>
      </c>
      <c r="N16" s="39">
        <v>2.8284271250000002</v>
      </c>
      <c r="O16" s="41">
        <v>2.449489743</v>
      </c>
      <c r="P16" s="39">
        <v>2.8284271250000002</v>
      </c>
      <c r="Q16" s="39">
        <v>2</v>
      </c>
      <c r="R16" s="39">
        <v>2.8284271250000002</v>
      </c>
      <c r="S16" s="39">
        <v>2.8284271250000002</v>
      </c>
      <c r="T16" s="39">
        <v>2.449489743</v>
      </c>
      <c r="U16" s="39">
        <v>2.449489743</v>
      </c>
      <c r="V16" s="39">
        <v>2.449489743</v>
      </c>
      <c r="W16" s="39">
        <v>2.8284271250000002</v>
      </c>
      <c r="AA16" s="74"/>
      <c r="AB16" s="75"/>
      <c r="AC16" s="37" t="s">
        <v>61</v>
      </c>
      <c r="AD16" s="68">
        <f>L92/L97</f>
        <v>9.9164651161451553E-2</v>
      </c>
      <c r="AE16" s="54"/>
      <c r="AF16" s="68">
        <f t="shared" si="0"/>
        <v>9.9164651161451553E-2</v>
      </c>
      <c r="AG16" s="54"/>
    </row>
    <row r="17" spans="2:33" ht="15.75" customHeight="1" x14ac:dyDescent="0.3">
      <c r="B17" s="35" t="s">
        <v>45</v>
      </c>
      <c r="C17" s="68" t="s">
        <v>62</v>
      </c>
      <c r="D17" s="54"/>
      <c r="E17" s="35" t="s">
        <v>39</v>
      </c>
      <c r="H17" s="74"/>
      <c r="I17" s="75"/>
      <c r="J17" s="37" t="s">
        <v>61</v>
      </c>
      <c r="K17" s="42">
        <v>4</v>
      </c>
      <c r="L17" s="42">
        <v>4</v>
      </c>
      <c r="M17" s="42">
        <v>2</v>
      </c>
      <c r="N17" s="42">
        <v>4</v>
      </c>
      <c r="O17" s="42">
        <v>4</v>
      </c>
      <c r="P17" s="42">
        <v>4</v>
      </c>
      <c r="Q17" s="42">
        <v>4</v>
      </c>
      <c r="R17" s="42">
        <v>4</v>
      </c>
      <c r="S17" s="42">
        <v>4</v>
      </c>
      <c r="T17" s="42">
        <v>3</v>
      </c>
      <c r="U17" s="42">
        <v>4</v>
      </c>
      <c r="V17" s="42">
        <v>2</v>
      </c>
      <c r="W17" s="42">
        <v>3</v>
      </c>
      <c r="AA17" s="74"/>
      <c r="AB17" s="75"/>
      <c r="AC17" s="37" t="s">
        <v>63</v>
      </c>
      <c r="AD17" s="68">
        <f>L93/L97</f>
        <v>9.6153135162949363E-2</v>
      </c>
      <c r="AE17" s="54"/>
      <c r="AF17" s="68">
        <f t="shared" si="0"/>
        <v>9.6153135162949363E-2</v>
      </c>
      <c r="AG17" s="54"/>
    </row>
    <row r="18" spans="2:33" ht="15.75" customHeight="1" x14ac:dyDescent="0.3">
      <c r="B18" s="35" t="s">
        <v>46</v>
      </c>
      <c r="C18" s="68" t="s">
        <v>64</v>
      </c>
      <c r="D18" s="54"/>
      <c r="E18" s="35" t="s">
        <v>39</v>
      </c>
      <c r="H18" s="74"/>
      <c r="I18" s="75"/>
      <c r="J18" s="37" t="s">
        <v>63</v>
      </c>
      <c r="K18" s="42">
        <v>4</v>
      </c>
      <c r="L18" s="42">
        <v>4</v>
      </c>
      <c r="M18" s="42">
        <v>3</v>
      </c>
      <c r="N18" s="42">
        <v>4</v>
      </c>
      <c r="O18" s="42">
        <v>4</v>
      </c>
      <c r="P18" s="42">
        <v>4</v>
      </c>
      <c r="Q18" s="42">
        <v>4</v>
      </c>
      <c r="R18" s="42">
        <v>4</v>
      </c>
      <c r="S18" s="42">
        <v>4</v>
      </c>
      <c r="T18" s="42">
        <v>4</v>
      </c>
      <c r="U18" s="42">
        <v>4</v>
      </c>
      <c r="V18" s="42">
        <v>3</v>
      </c>
      <c r="W18" s="42">
        <v>3</v>
      </c>
      <c r="AA18" s="63"/>
      <c r="AB18" s="65"/>
      <c r="AC18" s="37" t="s">
        <v>65</v>
      </c>
      <c r="AD18" s="68">
        <f>L94/L97</f>
        <v>0.10190060497928884</v>
      </c>
      <c r="AE18" s="54"/>
      <c r="AF18" s="68">
        <f t="shared" si="0"/>
        <v>0.10190060497928884</v>
      </c>
      <c r="AG18" s="54"/>
    </row>
    <row r="19" spans="2:33" ht="15.75" customHeight="1" x14ac:dyDescent="0.3">
      <c r="B19" s="35" t="s">
        <v>47</v>
      </c>
      <c r="C19" s="68" t="s">
        <v>66</v>
      </c>
      <c r="D19" s="54"/>
      <c r="E19" s="35" t="s">
        <v>39</v>
      </c>
      <c r="H19" s="63"/>
      <c r="I19" s="65"/>
      <c r="J19" s="37" t="s">
        <v>65</v>
      </c>
      <c r="K19" s="42">
        <v>3</v>
      </c>
      <c r="L19" s="42">
        <v>3</v>
      </c>
      <c r="M19" s="42">
        <v>3</v>
      </c>
      <c r="N19" s="42">
        <v>3</v>
      </c>
      <c r="O19" s="42">
        <v>4</v>
      </c>
      <c r="P19" s="42">
        <v>3</v>
      </c>
      <c r="Q19" s="42">
        <v>4</v>
      </c>
      <c r="R19" s="42">
        <v>4</v>
      </c>
      <c r="S19" s="42">
        <v>4</v>
      </c>
      <c r="T19" s="42">
        <v>4</v>
      </c>
      <c r="U19" s="42">
        <v>4</v>
      </c>
      <c r="V19" s="42">
        <v>3</v>
      </c>
      <c r="W19" s="42">
        <v>2</v>
      </c>
      <c r="AC19" s="37" t="s">
        <v>67</v>
      </c>
      <c r="AD19" s="68">
        <f>L95/L97</f>
        <v>0.10535374468394168</v>
      </c>
      <c r="AE19" s="54"/>
      <c r="AF19" s="68">
        <f t="shared" si="0"/>
        <v>0.10535374468394168</v>
      </c>
      <c r="AG19" s="54"/>
    </row>
    <row r="20" spans="2:33" ht="15.75" customHeight="1" x14ac:dyDescent="0.3">
      <c r="B20" s="35" t="s">
        <v>48</v>
      </c>
      <c r="C20" s="68" t="s">
        <v>68</v>
      </c>
      <c r="D20" s="54"/>
      <c r="E20" s="35" t="s">
        <v>39</v>
      </c>
      <c r="J20" s="37" t="s">
        <v>67</v>
      </c>
      <c r="K20" s="42">
        <v>2</v>
      </c>
      <c r="L20" s="42">
        <v>2</v>
      </c>
      <c r="M20" s="42">
        <v>3</v>
      </c>
      <c r="N20" s="42">
        <v>3</v>
      </c>
      <c r="O20" s="42">
        <v>3</v>
      </c>
      <c r="P20" s="42">
        <v>2</v>
      </c>
      <c r="Q20" s="42">
        <v>3</v>
      </c>
      <c r="R20" s="42">
        <v>2</v>
      </c>
      <c r="S20" s="42">
        <v>3</v>
      </c>
      <c r="T20" s="42">
        <v>3</v>
      </c>
      <c r="U20" s="42">
        <v>3</v>
      </c>
      <c r="V20" s="42">
        <v>3</v>
      </c>
      <c r="W20" s="42">
        <v>3</v>
      </c>
      <c r="AC20" s="37" t="s">
        <v>69</v>
      </c>
      <c r="AD20" s="68">
        <f>L96/L97</f>
        <v>9.4152374982972409E-2</v>
      </c>
      <c r="AE20" s="54"/>
      <c r="AF20" s="68">
        <f t="shared" si="0"/>
        <v>9.4152374982972409E-2</v>
      </c>
      <c r="AG20" s="54"/>
    </row>
    <row r="21" spans="2:33" ht="15.75" customHeight="1" x14ac:dyDescent="0.3">
      <c r="B21" s="35" t="s">
        <v>49</v>
      </c>
      <c r="C21" s="68" t="s">
        <v>11</v>
      </c>
      <c r="D21" s="54"/>
      <c r="E21" s="35" t="s">
        <v>39</v>
      </c>
      <c r="J21" s="37" t="s">
        <v>69</v>
      </c>
      <c r="K21" s="42">
        <v>4</v>
      </c>
      <c r="L21" s="39">
        <v>3.6342411860000001</v>
      </c>
      <c r="M21" s="39">
        <v>3.3019272489999998</v>
      </c>
      <c r="N21" s="41">
        <v>4</v>
      </c>
      <c r="O21" s="39">
        <v>3.6342411860000001</v>
      </c>
      <c r="P21" s="39">
        <v>3.6342411860000001</v>
      </c>
      <c r="Q21" s="39">
        <v>3.6342411860000001</v>
      </c>
      <c r="R21" s="41">
        <v>4</v>
      </c>
      <c r="S21" s="39">
        <v>3.6342411860000001</v>
      </c>
      <c r="T21" s="39">
        <v>3.6342411860000001</v>
      </c>
      <c r="U21" s="39">
        <v>3.6342411860000001</v>
      </c>
      <c r="V21" s="39">
        <v>3.6342411860000001</v>
      </c>
      <c r="W21" s="42">
        <v>4</v>
      </c>
      <c r="AC21" s="43" t="s">
        <v>70</v>
      </c>
      <c r="AD21" s="80"/>
      <c r="AE21" s="54"/>
      <c r="AF21" s="81">
        <f>SUM(AF11:AF20)</f>
        <v>1</v>
      </c>
      <c r="AG21" s="54"/>
    </row>
    <row r="22" spans="2:33" ht="15.75" customHeight="1" x14ac:dyDescent="0.3">
      <c r="B22" s="35" t="s">
        <v>50</v>
      </c>
      <c r="C22" s="68" t="s">
        <v>71</v>
      </c>
      <c r="D22" s="54"/>
      <c r="E22" s="35" t="s">
        <v>39</v>
      </c>
      <c r="J22" s="43" t="s">
        <v>72</v>
      </c>
      <c r="K22" s="43">
        <f t="shared" ref="K22:W22" si="1">MAX(K12:K21)</f>
        <v>4.6415888340000002</v>
      </c>
      <c r="L22" s="43">
        <f t="shared" si="1"/>
        <v>4</v>
      </c>
      <c r="M22" s="43">
        <f t="shared" si="1"/>
        <v>4.2995074459999998</v>
      </c>
      <c r="N22" s="43">
        <f t="shared" si="1"/>
        <v>4</v>
      </c>
      <c r="O22" s="43">
        <f t="shared" si="1"/>
        <v>4.6415888340000002</v>
      </c>
      <c r="P22" s="43">
        <f t="shared" si="1"/>
        <v>4.6415888340000002</v>
      </c>
      <c r="Q22" s="43">
        <f t="shared" si="1"/>
        <v>4.4721359549999997</v>
      </c>
      <c r="R22" s="43">
        <f t="shared" si="1"/>
        <v>4.6415888340000002</v>
      </c>
      <c r="S22" s="43">
        <f t="shared" si="1"/>
        <v>4.6415888340000002</v>
      </c>
      <c r="T22" s="43">
        <f t="shared" si="1"/>
        <v>4</v>
      </c>
      <c r="U22" s="43">
        <f t="shared" si="1"/>
        <v>4.6415888340000002</v>
      </c>
      <c r="V22" s="43">
        <f t="shared" si="1"/>
        <v>3.702746903</v>
      </c>
      <c r="W22" s="43">
        <f t="shared" si="1"/>
        <v>4</v>
      </c>
    </row>
    <row r="23" spans="2:33" ht="15.75" customHeight="1" x14ac:dyDescent="0.25">
      <c r="B23" s="35" t="s">
        <v>51</v>
      </c>
      <c r="C23" s="68" t="s">
        <v>73</v>
      </c>
      <c r="D23" s="54"/>
      <c r="E23" s="35" t="s">
        <v>39</v>
      </c>
    </row>
    <row r="24" spans="2:33" ht="15.75" customHeight="1" x14ac:dyDescent="0.25">
      <c r="AC24" s="66" t="s">
        <v>74</v>
      </c>
      <c r="AD24" s="61"/>
      <c r="AE24" s="61"/>
      <c r="AF24" s="61"/>
      <c r="AG24" s="62"/>
    </row>
    <row r="25" spans="2:33" ht="15.75" customHeight="1" x14ac:dyDescent="0.25">
      <c r="AC25" s="63"/>
      <c r="AD25" s="64"/>
      <c r="AE25" s="64"/>
      <c r="AF25" s="64"/>
      <c r="AG25" s="65"/>
    </row>
    <row r="26" spans="2:33" ht="15.75" customHeight="1" x14ac:dyDescent="0.3">
      <c r="AC26" s="34" t="s">
        <v>78</v>
      </c>
      <c r="AD26" s="69" t="s">
        <v>36</v>
      </c>
      <c r="AE26" s="54"/>
      <c r="AF26" s="69" t="s">
        <v>75</v>
      </c>
      <c r="AG26" s="54"/>
    </row>
    <row r="27" spans="2:33" ht="15.75" customHeight="1" x14ac:dyDescent="0.3">
      <c r="B27" s="69" t="s">
        <v>76</v>
      </c>
      <c r="C27" s="53"/>
      <c r="D27" s="54"/>
      <c r="J27" s="58" t="s">
        <v>77</v>
      </c>
      <c r="K27" s="59"/>
      <c r="L27" s="59"/>
      <c r="M27" s="59"/>
      <c r="N27" s="59"/>
      <c r="O27" s="59"/>
      <c r="AA27" s="73"/>
      <c r="AB27" s="62"/>
      <c r="AC27" s="37" t="s">
        <v>52</v>
      </c>
      <c r="AD27" s="68">
        <f t="shared" ref="AD27:AD36" si="2">AF11</f>
        <v>9.403484037848274E-2</v>
      </c>
      <c r="AE27" s="54"/>
      <c r="AF27" s="68">
        <f>AD27/AF21</f>
        <v>9.403484037848274E-2</v>
      </c>
      <c r="AG27" s="54"/>
    </row>
    <row r="28" spans="2:33" ht="15.75" customHeight="1" x14ac:dyDescent="0.3">
      <c r="B28" s="33" t="s">
        <v>31</v>
      </c>
      <c r="C28" s="71" t="s">
        <v>78</v>
      </c>
      <c r="D28" s="54"/>
      <c r="J28" s="59"/>
      <c r="K28" s="59"/>
      <c r="L28" s="59"/>
      <c r="M28" s="59"/>
      <c r="N28" s="59"/>
      <c r="O28" s="59"/>
      <c r="P28" s="44"/>
      <c r="Q28" s="44"/>
      <c r="R28" s="44"/>
      <c r="S28" s="44"/>
      <c r="T28" s="44"/>
      <c r="U28" s="44"/>
      <c r="V28" s="44"/>
      <c r="W28" s="44"/>
      <c r="AA28" s="74"/>
      <c r="AB28" s="75"/>
      <c r="AC28" s="37" t="s">
        <v>54</v>
      </c>
      <c r="AD28" s="68">
        <f t="shared" si="2"/>
        <v>9.7236252060705464E-2</v>
      </c>
      <c r="AE28" s="54"/>
      <c r="AF28" s="68">
        <f>AD28/AF21</f>
        <v>9.7236252060705464E-2</v>
      </c>
      <c r="AG28" s="54"/>
    </row>
    <row r="29" spans="2:33" ht="15.75" customHeight="1" x14ac:dyDescent="0.3">
      <c r="B29" s="35" t="s">
        <v>52</v>
      </c>
      <c r="C29" s="68" t="s">
        <v>0</v>
      </c>
      <c r="D29" s="5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AA29" s="74"/>
      <c r="AB29" s="75"/>
      <c r="AC29" s="37" t="s">
        <v>56</v>
      </c>
      <c r="AD29" s="68">
        <f t="shared" si="2"/>
        <v>0.10251508866117078</v>
      </c>
      <c r="AE29" s="54"/>
      <c r="AF29" s="68">
        <f>AD29/AF21</f>
        <v>0.10251508866117078</v>
      </c>
      <c r="AG29" s="54"/>
    </row>
    <row r="30" spans="2:33" ht="15.75" customHeight="1" x14ac:dyDescent="0.3">
      <c r="B30" s="35" t="s">
        <v>54</v>
      </c>
      <c r="C30" s="68" t="s">
        <v>14</v>
      </c>
      <c r="D30" s="54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AA30" s="74"/>
      <c r="AB30" s="75"/>
      <c r="AC30" s="37" t="s">
        <v>57</v>
      </c>
      <c r="AD30" s="68">
        <f t="shared" si="2"/>
        <v>0.10463481968789155</v>
      </c>
      <c r="AE30" s="54"/>
      <c r="AF30" s="68">
        <f>AD30/AF21</f>
        <v>0.10463481968789155</v>
      </c>
      <c r="AG30" s="54"/>
    </row>
    <row r="31" spans="2:33" ht="15.75" customHeight="1" x14ac:dyDescent="0.3">
      <c r="B31" s="35" t="s">
        <v>56</v>
      </c>
      <c r="C31" s="68" t="s">
        <v>15</v>
      </c>
      <c r="D31" s="54"/>
      <c r="J31" s="66" t="s">
        <v>79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2"/>
      <c r="X31" s="32"/>
      <c r="AA31" s="74"/>
      <c r="AB31" s="75"/>
      <c r="AC31" s="37" t="s">
        <v>59</v>
      </c>
      <c r="AD31" s="68">
        <f t="shared" si="2"/>
        <v>0.10485448824114568</v>
      </c>
      <c r="AE31" s="54"/>
      <c r="AF31" s="68">
        <f>AD31/AF21</f>
        <v>0.10485448824114568</v>
      </c>
      <c r="AG31" s="54"/>
    </row>
    <row r="32" spans="2:33" ht="15.75" customHeight="1" x14ac:dyDescent="0.3">
      <c r="B32" s="35" t="s">
        <v>57</v>
      </c>
      <c r="C32" s="68" t="s">
        <v>16</v>
      </c>
      <c r="D32" s="54"/>
      <c r="J32" s="63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5"/>
      <c r="X32" s="32"/>
      <c r="AA32" s="74"/>
      <c r="AB32" s="75"/>
      <c r="AC32" s="37" t="s">
        <v>61</v>
      </c>
      <c r="AD32" s="68">
        <f t="shared" si="2"/>
        <v>9.9164651161451553E-2</v>
      </c>
      <c r="AE32" s="54"/>
      <c r="AF32" s="68">
        <f>AD32/AF21</f>
        <v>9.9164651161451553E-2</v>
      </c>
      <c r="AG32" s="54"/>
    </row>
    <row r="33" spans="2:37" ht="15.75" customHeight="1" x14ac:dyDescent="0.3">
      <c r="B33" s="35" t="s">
        <v>59</v>
      </c>
      <c r="C33" s="68" t="s">
        <v>17</v>
      </c>
      <c r="D33" s="54"/>
      <c r="J33" s="76" t="s">
        <v>78</v>
      </c>
      <c r="K33" s="67" t="s">
        <v>34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4"/>
      <c r="X33" s="32"/>
      <c r="AA33" s="74"/>
      <c r="AB33" s="75"/>
      <c r="AC33" s="37" t="s">
        <v>63</v>
      </c>
      <c r="AD33" s="68">
        <f t="shared" si="2"/>
        <v>9.6153135162949363E-2</v>
      </c>
      <c r="AE33" s="54"/>
      <c r="AF33" s="68">
        <f>AD33/AF21</f>
        <v>9.6153135162949363E-2</v>
      </c>
      <c r="AG33" s="54"/>
    </row>
    <row r="34" spans="2:37" ht="15.75" customHeight="1" x14ac:dyDescent="0.3">
      <c r="B34" s="35" t="s">
        <v>61</v>
      </c>
      <c r="C34" s="68" t="s">
        <v>18</v>
      </c>
      <c r="D34" s="54"/>
      <c r="H34" s="73"/>
      <c r="I34" s="62"/>
      <c r="J34" s="77"/>
      <c r="K34" s="36" t="s">
        <v>37</v>
      </c>
      <c r="L34" s="36" t="s">
        <v>40</v>
      </c>
      <c r="M34" s="36" t="s">
        <v>41</v>
      </c>
      <c r="N34" s="36" t="s">
        <v>42</v>
      </c>
      <c r="O34" s="36" t="s">
        <v>43</v>
      </c>
      <c r="P34" s="36" t="s">
        <v>44</v>
      </c>
      <c r="Q34" s="36" t="s">
        <v>45</v>
      </c>
      <c r="R34" s="36" t="s">
        <v>46</v>
      </c>
      <c r="S34" s="36" t="s">
        <v>47</v>
      </c>
      <c r="T34" s="36" t="s">
        <v>48</v>
      </c>
      <c r="U34" s="36" t="s">
        <v>49</v>
      </c>
      <c r="V34" s="36" t="s">
        <v>50</v>
      </c>
      <c r="W34" s="36" t="s">
        <v>51</v>
      </c>
      <c r="X34" s="45"/>
      <c r="AA34" s="63"/>
      <c r="AB34" s="65"/>
      <c r="AC34" s="37" t="s">
        <v>65</v>
      </c>
      <c r="AD34" s="68">
        <f t="shared" si="2"/>
        <v>0.10190060497928884</v>
      </c>
      <c r="AE34" s="54"/>
      <c r="AF34" s="68">
        <f>AD34/AF21</f>
        <v>0.10190060497928884</v>
      </c>
      <c r="AG34" s="54"/>
    </row>
    <row r="35" spans="2:37" ht="15.75" customHeight="1" x14ac:dyDescent="0.3">
      <c r="B35" s="35" t="s">
        <v>63</v>
      </c>
      <c r="C35" s="68" t="s">
        <v>19</v>
      </c>
      <c r="D35" s="54"/>
      <c r="H35" s="74"/>
      <c r="I35" s="75"/>
      <c r="J35" s="37" t="s">
        <v>52</v>
      </c>
      <c r="K35" s="35">
        <f>K12 / K22</f>
        <v>0.90657521195682877</v>
      </c>
      <c r="L35" s="35">
        <f t="shared" ref="L35:W35" si="3">L12/L22</f>
        <v>0.94832385249999995</v>
      </c>
      <c r="M35" s="35">
        <f t="shared" si="3"/>
        <v>1</v>
      </c>
      <c r="N35" s="35">
        <f t="shared" si="3"/>
        <v>0.89772867599999995</v>
      </c>
      <c r="O35" s="35">
        <f t="shared" si="3"/>
        <v>0.9216846605762925</v>
      </c>
      <c r="P35" s="35">
        <f t="shared" si="3"/>
        <v>0.93704593094081012</v>
      </c>
      <c r="Q35" s="35">
        <f t="shared" si="3"/>
        <v>0.95204576780358652</v>
      </c>
      <c r="R35" s="35">
        <f t="shared" si="3"/>
        <v>0.87595875473014795</v>
      </c>
      <c r="S35" s="35">
        <f t="shared" si="3"/>
        <v>0.87518965924847791</v>
      </c>
      <c r="T35" s="35">
        <f t="shared" si="3"/>
        <v>0.90875587525000001</v>
      </c>
      <c r="U35" s="35">
        <f t="shared" si="3"/>
        <v>0.81847726368431717</v>
      </c>
      <c r="V35" s="35">
        <f t="shared" si="3"/>
        <v>1</v>
      </c>
      <c r="W35" s="35">
        <f t="shared" si="3"/>
        <v>0.86418260150000004</v>
      </c>
      <c r="AC35" s="37" t="s">
        <v>67</v>
      </c>
      <c r="AD35" s="68">
        <f t="shared" si="2"/>
        <v>0.10535374468394168</v>
      </c>
      <c r="AE35" s="54"/>
      <c r="AF35" s="68">
        <f>AD35/AF21</f>
        <v>0.10535374468394168</v>
      </c>
      <c r="AG35" s="54"/>
    </row>
    <row r="36" spans="2:37" ht="15.75" customHeight="1" x14ac:dyDescent="0.3">
      <c r="B36" s="35" t="s">
        <v>65</v>
      </c>
      <c r="C36" s="68" t="s">
        <v>20</v>
      </c>
      <c r="D36" s="54"/>
      <c r="H36" s="74"/>
      <c r="I36" s="75"/>
      <c r="J36" s="37" t="s">
        <v>54</v>
      </c>
      <c r="K36" s="35">
        <f>K13/ K22</f>
        <v>1</v>
      </c>
      <c r="L36" s="35">
        <f t="shared" ref="L36:W36" si="4">L13/L22</f>
        <v>0.97871691024999996</v>
      </c>
      <c r="M36" s="35">
        <f t="shared" si="4"/>
        <v>0.7679780278254692</v>
      </c>
      <c r="N36" s="35">
        <f t="shared" si="4"/>
        <v>0.77680812649999997</v>
      </c>
      <c r="O36" s="35">
        <f t="shared" si="4"/>
        <v>1</v>
      </c>
      <c r="P36" s="35">
        <f t="shared" si="4"/>
        <v>1</v>
      </c>
      <c r="Q36" s="35">
        <f t="shared" si="4"/>
        <v>0.87539101681894194</v>
      </c>
      <c r="R36" s="35">
        <f t="shared" si="4"/>
        <v>1</v>
      </c>
      <c r="S36" s="35">
        <f t="shared" si="4"/>
        <v>1</v>
      </c>
      <c r="T36" s="35">
        <f t="shared" si="4"/>
        <v>0.72112478525000001</v>
      </c>
      <c r="U36" s="35">
        <f t="shared" si="4"/>
        <v>1</v>
      </c>
      <c r="V36" s="35">
        <f t="shared" si="4"/>
        <v>0.70778302234934043</v>
      </c>
      <c r="W36" s="35">
        <f t="shared" si="4"/>
        <v>0.65518534849999999</v>
      </c>
      <c r="AC36" s="37" t="s">
        <v>69</v>
      </c>
      <c r="AD36" s="68">
        <f t="shared" si="2"/>
        <v>9.4152374982972409E-2</v>
      </c>
      <c r="AE36" s="54"/>
      <c r="AF36" s="68">
        <f>AD36/AF21</f>
        <v>9.4152374982972409E-2</v>
      </c>
      <c r="AG36" s="54"/>
    </row>
    <row r="37" spans="2:37" ht="15.75" customHeight="1" x14ac:dyDescent="0.3">
      <c r="B37" s="35" t="s">
        <v>67</v>
      </c>
      <c r="C37" s="68" t="s">
        <v>21</v>
      </c>
      <c r="D37" s="54"/>
      <c r="H37" s="74"/>
      <c r="I37" s="75"/>
      <c r="J37" s="37" t="s">
        <v>56</v>
      </c>
      <c r="K37" s="35">
        <f>K14 / K22</f>
        <v>0.76623736983076329</v>
      </c>
      <c r="L37" s="35">
        <f t="shared" ref="L37:W37" si="5">L14/L22</f>
        <v>0.88913970499999995</v>
      </c>
      <c r="M37" s="35">
        <f t="shared" si="5"/>
        <v>0.65784910493210025</v>
      </c>
      <c r="N37" s="35">
        <f t="shared" si="5"/>
        <v>0.72823765750000002</v>
      </c>
      <c r="O37" s="35">
        <f t="shared" si="5"/>
        <v>0.67437450234093699</v>
      </c>
      <c r="P37" s="35">
        <f t="shared" si="5"/>
        <v>0.62757618870986798</v>
      </c>
      <c r="Q37" s="35">
        <f t="shared" si="5"/>
        <v>0.79527072874956906</v>
      </c>
      <c r="R37" s="35">
        <f t="shared" si="5"/>
        <v>0.76623736983076329</v>
      </c>
      <c r="S37" s="35">
        <f t="shared" si="5"/>
        <v>0.5670791016040263</v>
      </c>
      <c r="T37" s="35">
        <f t="shared" si="5"/>
        <v>0.72823765750000002</v>
      </c>
      <c r="U37" s="35">
        <f t="shared" si="5"/>
        <v>0.66358102756501069</v>
      </c>
      <c r="V37" s="35">
        <f t="shared" si="5"/>
        <v>0.50265647821946202</v>
      </c>
      <c r="W37" s="35">
        <f t="shared" si="5"/>
        <v>0.62871671475000002</v>
      </c>
      <c r="AC37" s="1"/>
      <c r="AD37" s="59"/>
      <c r="AE37" s="59"/>
      <c r="AF37" s="82"/>
      <c r="AG37" s="59"/>
    </row>
    <row r="38" spans="2:37" ht="15.75" customHeight="1" x14ac:dyDescent="0.3">
      <c r="B38" s="35" t="s">
        <v>69</v>
      </c>
      <c r="C38" s="68" t="s">
        <v>22</v>
      </c>
      <c r="D38" s="54"/>
      <c r="H38" s="74"/>
      <c r="I38" s="75"/>
      <c r="J38" s="37" t="s">
        <v>57</v>
      </c>
      <c r="K38" s="35">
        <f xml:space="preserve"> K15 / K22</f>
        <v>0.96349248391870801</v>
      </c>
      <c r="L38" s="35">
        <f t="shared" ref="L38:W38" si="6">L15/L22</f>
        <v>0.86602540375000003</v>
      </c>
      <c r="M38" s="35">
        <f t="shared" si="6"/>
        <v>0.93033912610649316</v>
      </c>
      <c r="N38" s="35">
        <f t="shared" si="6"/>
        <v>0.96824583649999996</v>
      </c>
      <c r="O38" s="35">
        <f t="shared" si="6"/>
        <v>0.96349248391870801</v>
      </c>
      <c r="P38" s="35">
        <f t="shared" si="6"/>
        <v>0.96349248391870801</v>
      </c>
      <c r="Q38" s="35">
        <f t="shared" si="6"/>
        <v>1</v>
      </c>
      <c r="R38" s="35">
        <f t="shared" si="6"/>
        <v>0.64633040695564548</v>
      </c>
      <c r="S38" s="35">
        <f t="shared" si="6"/>
        <v>0.83440896738420578</v>
      </c>
      <c r="T38" s="35">
        <f t="shared" si="6"/>
        <v>0.70710678125000004</v>
      </c>
      <c r="U38" s="35">
        <f t="shared" si="6"/>
        <v>0.83440896738420578</v>
      </c>
      <c r="V38" s="35">
        <f t="shared" si="6"/>
        <v>0.38193632971624147</v>
      </c>
      <c r="W38" s="35">
        <f t="shared" si="6"/>
        <v>0.43301270200000003</v>
      </c>
    </row>
    <row r="39" spans="2:37" ht="15.75" customHeight="1" x14ac:dyDescent="0.3">
      <c r="H39" s="74"/>
      <c r="I39" s="75"/>
      <c r="J39" s="37" t="s">
        <v>59</v>
      </c>
      <c r="K39" s="35">
        <f xml:space="preserve"> K16 / K22</f>
        <v>0.60936615158187879</v>
      </c>
      <c r="L39" s="35">
        <f t="shared" ref="L39:W39" si="7">L16/L22</f>
        <v>0.61237243575</v>
      </c>
      <c r="M39" s="35">
        <f t="shared" si="7"/>
        <v>0.56971403672735965</v>
      </c>
      <c r="N39" s="35">
        <f t="shared" si="7"/>
        <v>0.70710678125000004</v>
      </c>
      <c r="O39" s="35">
        <f t="shared" si="7"/>
        <v>0.52772656747562308</v>
      </c>
      <c r="P39" s="35">
        <f t="shared" si="7"/>
        <v>0.60936615158187879</v>
      </c>
      <c r="Q39" s="35">
        <f t="shared" si="7"/>
        <v>0.44721359549991591</v>
      </c>
      <c r="R39" s="35">
        <f t="shared" si="7"/>
        <v>0.60936615158187879</v>
      </c>
      <c r="S39" s="35">
        <f t="shared" si="7"/>
        <v>0.60936615158187879</v>
      </c>
      <c r="T39" s="35">
        <f t="shared" si="7"/>
        <v>0.61237243575</v>
      </c>
      <c r="U39" s="35">
        <f t="shared" si="7"/>
        <v>0.52772656747562308</v>
      </c>
      <c r="V39" s="35">
        <f t="shared" si="7"/>
        <v>0.6615331285579904</v>
      </c>
      <c r="W39" s="35">
        <f t="shared" si="7"/>
        <v>0.70710678125000004</v>
      </c>
    </row>
    <row r="40" spans="2:37" ht="15.75" customHeight="1" x14ac:dyDescent="0.3">
      <c r="H40" s="74"/>
      <c r="I40" s="75"/>
      <c r="J40" s="37" t="s">
        <v>61</v>
      </c>
      <c r="K40" s="35">
        <f xml:space="preserve"> K17/ K22</f>
        <v>0.86177387594086063</v>
      </c>
      <c r="L40" s="35">
        <f t="shared" ref="L40:W40" si="8">L17/L22</f>
        <v>1</v>
      </c>
      <c r="M40" s="35">
        <f t="shared" si="8"/>
        <v>0.46516956305324658</v>
      </c>
      <c r="N40" s="35">
        <f t="shared" si="8"/>
        <v>1</v>
      </c>
      <c r="O40" s="35">
        <f t="shared" si="8"/>
        <v>0.86177387594086063</v>
      </c>
      <c r="P40" s="35">
        <f t="shared" si="8"/>
        <v>0.86177387594086063</v>
      </c>
      <c r="Q40" s="35">
        <f t="shared" si="8"/>
        <v>0.89442719099983181</v>
      </c>
      <c r="R40" s="35">
        <f t="shared" si="8"/>
        <v>0.86177387594086063</v>
      </c>
      <c r="S40" s="35">
        <f t="shared" si="8"/>
        <v>0.86177387594086063</v>
      </c>
      <c r="T40" s="35">
        <f t="shared" si="8"/>
        <v>0.75</v>
      </c>
      <c r="U40" s="35">
        <f t="shared" si="8"/>
        <v>0.86177387594086063</v>
      </c>
      <c r="V40" s="35">
        <f t="shared" si="8"/>
        <v>0.54013953759020938</v>
      </c>
      <c r="W40" s="35">
        <f t="shared" si="8"/>
        <v>0.75</v>
      </c>
    </row>
    <row r="41" spans="2:37" ht="15.75" customHeight="1" x14ac:dyDescent="0.3">
      <c r="H41" s="63"/>
      <c r="I41" s="65"/>
      <c r="J41" s="37" t="s">
        <v>63</v>
      </c>
      <c r="K41" s="35">
        <f xml:space="preserve"> K18 / K22</f>
        <v>0.86177387594086063</v>
      </c>
      <c r="L41" s="35">
        <f t="shared" ref="L41:W41" si="9">L18/L22</f>
        <v>1</v>
      </c>
      <c r="M41" s="35">
        <f t="shared" si="9"/>
        <v>0.69775434457986985</v>
      </c>
      <c r="N41" s="51">
        <f t="shared" si="9"/>
        <v>1</v>
      </c>
      <c r="O41" s="35">
        <f t="shared" si="9"/>
        <v>0.86177387594086063</v>
      </c>
      <c r="P41" s="35">
        <f t="shared" si="9"/>
        <v>0.86177387594086063</v>
      </c>
      <c r="Q41" s="35">
        <f t="shared" si="9"/>
        <v>0.89442719099983181</v>
      </c>
      <c r="R41" s="35">
        <f t="shared" si="9"/>
        <v>0.86177387594086063</v>
      </c>
      <c r="S41" s="35">
        <f t="shared" si="9"/>
        <v>0.86177387594086063</v>
      </c>
      <c r="T41" s="35">
        <f t="shared" si="9"/>
        <v>1</v>
      </c>
      <c r="U41" s="35">
        <f t="shared" si="9"/>
        <v>0.86177387594086063</v>
      </c>
      <c r="V41" s="35">
        <f t="shared" si="9"/>
        <v>0.81020930638531408</v>
      </c>
      <c r="W41" s="35">
        <f t="shared" si="9"/>
        <v>0.75</v>
      </c>
      <c r="AC41" s="58" t="s">
        <v>80</v>
      </c>
      <c r="AD41" s="58"/>
      <c r="AE41" s="58"/>
      <c r="AF41" s="58"/>
      <c r="AG41" s="58"/>
      <c r="AH41" s="58"/>
      <c r="AI41" s="58"/>
      <c r="AJ41" s="58"/>
      <c r="AK41" s="58"/>
    </row>
    <row r="42" spans="2:37" ht="15.75" customHeight="1" x14ac:dyDescent="0.3">
      <c r="B42" s="82"/>
      <c r="C42" s="59"/>
      <c r="G42" s="84" t="s">
        <v>81</v>
      </c>
      <c r="H42" s="53"/>
      <c r="I42" s="54"/>
      <c r="J42" s="37" t="s">
        <v>65</v>
      </c>
      <c r="K42" s="35">
        <f xml:space="preserve"> K19 / K22</f>
        <v>0.64633040695564548</v>
      </c>
      <c r="L42" s="35">
        <f t="shared" ref="L42:W42" si="10">L19/L22</f>
        <v>0.75</v>
      </c>
      <c r="M42" s="35">
        <f t="shared" si="10"/>
        <v>0.69775434457986985</v>
      </c>
      <c r="N42" s="35">
        <f t="shared" si="10"/>
        <v>0.75</v>
      </c>
      <c r="O42" s="35">
        <f t="shared" si="10"/>
        <v>0.86177387594086063</v>
      </c>
      <c r="P42" s="35">
        <f t="shared" si="10"/>
        <v>0.64633040695564548</v>
      </c>
      <c r="Q42" s="35">
        <f t="shared" si="10"/>
        <v>0.89442719099983181</v>
      </c>
      <c r="R42" s="35">
        <f t="shared" si="10"/>
        <v>0.86177387594086063</v>
      </c>
      <c r="S42" s="35">
        <f t="shared" si="10"/>
        <v>0.86177387594086063</v>
      </c>
      <c r="T42" s="35">
        <f t="shared" si="10"/>
        <v>1</v>
      </c>
      <c r="U42" s="35">
        <f t="shared" si="10"/>
        <v>0.86177387594086063</v>
      </c>
      <c r="V42" s="35">
        <f t="shared" si="10"/>
        <v>0.81020930638531408</v>
      </c>
      <c r="W42" s="35">
        <f t="shared" si="10"/>
        <v>0.5</v>
      </c>
      <c r="AC42" s="58"/>
      <c r="AD42" s="58"/>
      <c r="AE42" s="58"/>
      <c r="AF42" s="58"/>
      <c r="AG42" s="58"/>
      <c r="AH42" s="58"/>
      <c r="AI42" s="58"/>
      <c r="AJ42" s="58"/>
      <c r="AK42" s="58"/>
    </row>
    <row r="43" spans="2:37" ht="15.75" customHeight="1" x14ac:dyDescent="0.3">
      <c r="B43" s="1"/>
      <c r="C43" s="1"/>
      <c r="G43" s="87" t="s">
        <v>82</v>
      </c>
      <c r="H43" s="61"/>
      <c r="I43" s="62"/>
      <c r="J43" s="37" t="s">
        <v>67</v>
      </c>
      <c r="K43" s="35">
        <f xml:space="preserve"> K20 / K22</f>
        <v>0.43088693797043032</v>
      </c>
      <c r="L43" s="35">
        <f t="shared" ref="L43:W43" si="11">L20/L22</f>
        <v>0.5</v>
      </c>
      <c r="M43" s="35">
        <f t="shared" si="11"/>
        <v>0.69775434457986985</v>
      </c>
      <c r="N43" s="35">
        <f t="shared" si="11"/>
        <v>0.75</v>
      </c>
      <c r="O43" s="35">
        <f t="shared" si="11"/>
        <v>0.64633040695564548</v>
      </c>
      <c r="P43" s="35">
        <f t="shared" si="11"/>
        <v>0.43088693797043032</v>
      </c>
      <c r="Q43" s="35">
        <f t="shared" si="11"/>
        <v>0.67082039324987386</v>
      </c>
      <c r="R43" s="35">
        <f t="shared" si="11"/>
        <v>0.43088693797043032</v>
      </c>
      <c r="S43" s="35">
        <f t="shared" si="11"/>
        <v>0.64633040695564548</v>
      </c>
      <c r="T43" s="35">
        <f t="shared" si="11"/>
        <v>0.75</v>
      </c>
      <c r="U43" s="35">
        <f t="shared" si="11"/>
        <v>0.64633040695564548</v>
      </c>
      <c r="V43" s="35">
        <f t="shared" si="11"/>
        <v>0.81020930638531408</v>
      </c>
      <c r="W43" s="35">
        <f t="shared" si="11"/>
        <v>0.75</v>
      </c>
    </row>
    <row r="44" spans="2:37" ht="15.75" customHeight="1" x14ac:dyDescent="0.3">
      <c r="B44" s="45"/>
      <c r="C44" s="45"/>
      <c r="G44" s="63"/>
      <c r="H44" s="64"/>
      <c r="I44" s="65"/>
      <c r="J44" s="37" t="s">
        <v>69</v>
      </c>
      <c r="K44" s="35">
        <f xml:space="preserve"> K21 / K22</f>
        <v>0.86177387594086063</v>
      </c>
      <c r="L44" s="35">
        <f t="shared" ref="L44:W44" si="12">L21/L22</f>
        <v>0.90856029650000003</v>
      </c>
      <c r="M44" s="35">
        <f t="shared" si="12"/>
        <v>0.7679780278254692</v>
      </c>
      <c r="N44" s="35">
        <f t="shared" si="12"/>
        <v>1</v>
      </c>
      <c r="O44" s="35">
        <f t="shared" si="12"/>
        <v>0.78297352824078259</v>
      </c>
      <c r="P44" s="35">
        <f t="shared" si="12"/>
        <v>0.78297352824078259</v>
      </c>
      <c r="Q44" s="35">
        <f t="shared" si="12"/>
        <v>0.81264103385246933</v>
      </c>
      <c r="R44" s="35">
        <f t="shared" si="12"/>
        <v>0.86177387594086063</v>
      </c>
      <c r="S44" s="35">
        <f t="shared" si="12"/>
        <v>0.78297352824078259</v>
      </c>
      <c r="T44" s="35">
        <f t="shared" si="12"/>
        <v>0.90856029650000003</v>
      </c>
      <c r="U44" s="35">
        <f t="shared" si="12"/>
        <v>0.78297352824078259</v>
      </c>
      <c r="V44" s="35">
        <f t="shared" si="12"/>
        <v>0.98149867684866721</v>
      </c>
      <c r="W44" s="35">
        <f t="shared" si="12"/>
        <v>1</v>
      </c>
      <c r="AA44" s="83"/>
      <c r="AB44" s="59"/>
      <c r="AC44" s="46" t="s">
        <v>83</v>
      </c>
      <c r="AD44" s="34" t="s">
        <v>31</v>
      </c>
      <c r="AE44" s="69" t="s">
        <v>78</v>
      </c>
      <c r="AF44" s="54"/>
      <c r="AG44" s="69" t="s">
        <v>75</v>
      </c>
      <c r="AH44" s="53"/>
      <c r="AI44" s="89" t="s">
        <v>84</v>
      </c>
      <c r="AJ44" s="89"/>
      <c r="AK44" s="89"/>
    </row>
    <row r="45" spans="2:37" ht="15.75" customHeight="1" x14ac:dyDescent="0.3">
      <c r="B45" s="45"/>
      <c r="C45" s="45"/>
      <c r="AA45" s="83"/>
      <c r="AB45" s="59"/>
      <c r="AC45" s="47">
        <v>1</v>
      </c>
      <c r="AD45" s="37" t="s">
        <v>67</v>
      </c>
      <c r="AE45" s="68" t="str">
        <f>VLOOKUP(AD45, GADA!$B$27:$D$38, 2, FALSE)</f>
        <v>Vainglory (IOS)</v>
      </c>
      <c r="AF45" s="54"/>
      <c r="AG45" s="68">
        <v>0.1053537447</v>
      </c>
      <c r="AH45" s="53"/>
      <c r="AI45" s="90" t="s">
        <v>85</v>
      </c>
      <c r="AJ45" s="91"/>
      <c r="AK45" s="92"/>
    </row>
    <row r="46" spans="2:37" ht="13" x14ac:dyDescent="0.3">
      <c r="B46" s="45"/>
      <c r="C46" s="45"/>
      <c r="AA46" s="83"/>
      <c r="AB46" s="59"/>
      <c r="AC46" s="47">
        <v>2</v>
      </c>
      <c r="AD46" s="37" t="s">
        <v>59</v>
      </c>
      <c r="AE46" s="68" t="str">
        <f>VLOOKUP(AD46, GADA!$B$27:$D$38, 2, FALSE)</f>
        <v>Pokémon Unite</v>
      </c>
      <c r="AF46" s="54"/>
      <c r="AG46" s="68">
        <v>0.1048544882</v>
      </c>
      <c r="AH46" s="53"/>
      <c r="AI46" s="79"/>
      <c r="AJ46" s="79"/>
      <c r="AK46" s="79"/>
    </row>
    <row r="47" spans="2:37" ht="13" x14ac:dyDescent="0.3">
      <c r="B47" s="45"/>
      <c r="C47" s="45"/>
      <c r="J47" s="66" t="s">
        <v>86</v>
      </c>
      <c r="K47" s="61"/>
      <c r="L47" s="61"/>
      <c r="M47" s="61"/>
      <c r="N47" s="62"/>
      <c r="O47" s="44"/>
      <c r="P47" s="44"/>
      <c r="Q47" s="44"/>
      <c r="R47" s="44"/>
      <c r="S47" s="44"/>
      <c r="T47" s="44"/>
      <c r="U47" s="44"/>
      <c r="V47" s="44"/>
      <c r="W47" s="44"/>
      <c r="AA47" s="83"/>
      <c r="AB47" s="59"/>
      <c r="AC47" s="47">
        <v>3</v>
      </c>
      <c r="AD47" s="37" t="s">
        <v>57</v>
      </c>
      <c r="AE47" s="68" t="str">
        <f>VLOOKUP(AD47, GADA!$B$27:$D$38, 2, FALSE)</f>
        <v>League of Legends: Wild Rift</v>
      </c>
      <c r="AF47" s="54"/>
      <c r="AG47" s="68">
        <v>0.10463481970000001</v>
      </c>
      <c r="AH47" s="53"/>
      <c r="AI47" s="79"/>
      <c r="AJ47" s="79"/>
      <c r="AK47" s="79"/>
    </row>
    <row r="48" spans="2:37" ht="13" x14ac:dyDescent="0.3">
      <c r="B48" s="45"/>
      <c r="C48" s="45"/>
      <c r="J48" s="74"/>
      <c r="K48" s="59"/>
      <c r="L48" s="59"/>
      <c r="M48" s="59"/>
      <c r="N48" s="75"/>
      <c r="O48" s="44"/>
      <c r="P48" s="44"/>
      <c r="Q48" s="44"/>
      <c r="R48" s="44"/>
      <c r="S48" s="44"/>
      <c r="T48" s="44"/>
      <c r="U48" s="44"/>
      <c r="V48" s="44"/>
      <c r="W48" s="44"/>
      <c r="AA48" s="83"/>
      <c r="AB48" s="59"/>
      <c r="AC48" s="47">
        <v>4</v>
      </c>
      <c r="AD48" s="37" t="s">
        <v>56</v>
      </c>
      <c r="AE48" s="68" t="str">
        <f>VLOOKUP(AD48, GADA!$B$27:$D$38, 2, FALSE)</f>
        <v>Garena AOV</v>
      </c>
      <c r="AF48" s="54"/>
      <c r="AG48" s="68">
        <v>0.10251508870000001</v>
      </c>
      <c r="AH48" s="53"/>
      <c r="AI48" s="79"/>
      <c r="AJ48" s="79"/>
      <c r="AK48" s="79"/>
    </row>
    <row r="49" spans="2:37" ht="13" x14ac:dyDescent="0.3">
      <c r="B49" s="45"/>
      <c r="C49" s="45"/>
      <c r="J49" s="76" t="s">
        <v>78</v>
      </c>
      <c r="K49" s="67" t="s">
        <v>32</v>
      </c>
      <c r="L49" s="53"/>
      <c r="M49" s="53"/>
      <c r="N49" s="88" t="s">
        <v>87</v>
      </c>
      <c r="O49" s="44"/>
      <c r="P49" s="44"/>
      <c r="Q49" s="44"/>
      <c r="R49" s="44"/>
      <c r="S49" s="44"/>
      <c r="T49" s="44"/>
      <c r="U49" s="44"/>
      <c r="V49" s="44"/>
      <c r="W49" s="44"/>
      <c r="AA49" s="83"/>
      <c r="AB49" s="59"/>
      <c r="AC49" s="47">
        <v>5</v>
      </c>
      <c r="AD49" s="37" t="s">
        <v>65</v>
      </c>
      <c r="AE49" s="68" t="str">
        <f>VLOOKUP(AD49, GADA!$B$27:$D$38, 2, FALSE)</f>
        <v>Lokapala</v>
      </c>
      <c r="AF49" s="54"/>
      <c r="AG49" s="68">
        <v>0.10190060500000001</v>
      </c>
      <c r="AH49" s="53"/>
      <c r="AI49" s="79"/>
      <c r="AJ49" s="79"/>
      <c r="AK49" s="79"/>
    </row>
    <row r="50" spans="2:37" ht="13" x14ac:dyDescent="0.3">
      <c r="B50" s="45"/>
      <c r="C50" s="45"/>
      <c r="J50" s="77"/>
      <c r="K50" s="36" t="s">
        <v>88</v>
      </c>
      <c r="L50" s="36" t="s">
        <v>89</v>
      </c>
      <c r="M50" s="36" t="s">
        <v>90</v>
      </c>
      <c r="N50" s="77"/>
      <c r="O50" s="44"/>
      <c r="P50" s="44"/>
      <c r="Q50" s="44"/>
      <c r="R50" s="44"/>
      <c r="S50" s="44"/>
      <c r="T50" s="44"/>
      <c r="U50" s="44"/>
      <c r="V50" s="44"/>
      <c r="W50" s="44"/>
      <c r="AA50" s="83"/>
      <c r="AB50" s="59"/>
      <c r="AC50" s="47">
        <v>6</v>
      </c>
      <c r="AD50" s="37" t="s">
        <v>61</v>
      </c>
      <c r="AE50" s="68" t="str">
        <f>VLOOKUP(AD50, GADA!$B$27:$D$38, 2, FALSE)</f>
        <v>Heroes Evolved</v>
      </c>
      <c r="AF50" s="54"/>
      <c r="AG50" s="68">
        <v>9.9164651160000006E-2</v>
      </c>
      <c r="AH50" s="53"/>
      <c r="AI50" s="79"/>
      <c r="AJ50" s="79"/>
      <c r="AK50" s="79"/>
    </row>
    <row r="51" spans="2:37" ht="13" x14ac:dyDescent="0.3">
      <c r="B51" s="45"/>
      <c r="C51" s="45"/>
      <c r="G51" s="73"/>
      <c r="H51" s="61"/>
      <c r="I51" s="62"/>
      <c r="J51" s="37" t="s">
        <v>52</v>
      </c>
      <c r="K51" s="48">
        <f t="shared" ref="K51:K60" si="13">0.5*K35</f>
        <v>0.45328760597841439</v>
      </c>
      <c r="L51" s="48">
        <f t="shared" ref="L51:L60" si="14">SUM(L35,V35)</f>
        <v>1.9483238525</v>
      </c>
      <c r="M51" s="48">
        <f t="shared" ref="M51:M60" si="15">0.5*W35</f>
        <v>0.43209130075000002</v>
      </c>
      <c r="N51" s="48">
        <f t="shared" ref="N51:N60" si="16">SUM(K51:M51)</f>
        <v>2.8337027592284141</v>
      </c>
      <c r="O51" s="32"/>
      <c r="P51" s="32"/>
      <c r="Q51" s="32"/>
      <c r="R51" s="32"/>
      <c r="S51" s="32"/>
      <c r="T51" s="32"/>
      <c r="U51" s="32"/>
      <c r="V51" s="32"/>
      <c r="W51" s="32"/>
      <c r="AA51" s="83"/>
      <c r="AB51" s="59"/>
      <c r="AC51" s="47">
        <v>7</v>
      </c>
      <c r="AD51" s="37" t="s">
        <v>54</v>
      </c>
      <c r="AE51" s="68" t="str">
        <f>VLOOKUP(AD51, GADA!$B$27:$D$38, 2, FALSE)</f>
        <v>Honor of Kings</v>
      </c>
      <c r="AF51" s="54"/>
      <c r="AG51" s="68">
        <v>9.723625206E-2</v>
      </c>
      <c r="AH51" s="53"/>
      <c r="AI51" s="79"/>
      <c r="AJ51" s="79"/>
      <c r="AK51" s="79"/>
    </row>
    <row r="52" spans="2:37" ht="13" x14ac:dyDescent="0.3">
      <c r="B52" s="45"/>
      <c r="C52" s="45"/>
      <c r="G52" s="74"/>
      <c r="H52" s="59"/>
      <c r="I52" s="75"/>
      <c r="J52" s="37" t="s">
        <v>54</v>
      </c>
      <c r="K52" s="48">
        <f t="shared" si="13"/>
        <v>0.5</v>
      </c>
      <c r="L52" s="48">
        <f t="shared" si="14"/>
        <v>1.6864999325993404</v>
      </c>
      <c r="M52" s="48">
        <f t="shared" si="15"/>
        <v>0.32759267424999999</v>
      </c>
      <c r="N52" s="48">
        <f t="shared" si="16"/>
        <v>2.5140926068493403</v>
      </c>
      <c r="AA52" s="83"/>
      <c r="AB52" s="59"/>
      <c r="AC52" s="47">
        <v>8</v>
      </c>
      <c r="AD52" s="37" t="s">
        <v>63</v>
      </c>
      <c r="AE52" s="68" t="str">
        <f>VLOOKUP(AD52, GADA!$B$27:$D$38, 2, FALSE)</f>
        <v>Onmyoji Arena</v>
      </c>
      <c r="AF52" s="54"/>
      <c r="AG52" s="68">
        <v>9.615313516E-2</v>
      </c>
      <c r="AH52" s="53"/>
      <c r="AI52" s="79"/>
      <c r="AJ52" s="79"/>
      <c r="AK52" s="79"/>
    </row>
    <row r="53" spans="2:37" ht="13" x14ac:dyDescent="0.3">
      <c r="B53" s="45"/>
      <c r="C53" s="45"/>
      <c r="G53" s="74"/>
      <c r="H53" s="59"/>
      <c r="I53" s="75"/>
      <c r="J53" s="37" t="s">
        <v>56</v>
      </c>
      <c r="K53" s="48">
        <f t="shared" si="13"/>
        <v>0.38311868491538165</v>
      </c>
      <c r="L53" s="48">
        <f t="shared" si="14"/>
        <v>1.3917961832194621</v>
      </c>
      <c r="M53" s="48">
        <f t="shared" si="15"/>
        <v>0.31435835737500001</v>
      </c>
      <c r="N53" s="48">
        <f t="shared" si="16"/>
        <v>2.0892732255098436</v>
      </c>
      <c r="AA53" s="83"/>
      <c r="AB53" s="59"/>
      <c r="AC53" s="47">
        <v>9</v>
      </c>
      <c r="AD53" s="37" t="s">
        <v>69</v>
      </c>
      <c r="AE53" s="68" t="str">
        <f>VLOOKUP(AD53, GADA!$B$27:$D$38, 2, FALSE)</f>
        <v>Marvel Super War</v>
      </c>
      <c r="AF53" s="54"/>
      <c r="AG53" s="68">
        <v>9.4152374979999995E-2</v>
      </c>
      <c r="AH53" s="53"/>
      <c r="AI53" s="79"/>
      <c r="AJ53" s="79"/>
      <c r="AK53" s="79"/>
    </row>
    <row r="54" spans="2:37" ht="13" x14ac:dyDescent="0.3">
      <c r="B54" s="45"/>
      <c r="C54" s="45"/>
      <c r="G54" s="74"/>
      <c r="H54" s="59"/>
      <c r="I54" s="75"/>
      <c r="J54" s="37" t="s">
        <v>57</v>
      </c>
      <c r="K54" s="48">
        <f t="shared" si="13"/>
        <v>0.481746241959354</v>
      </c>
      <c r="L54" s="48">
        <f t="shared" si="14"/>
        <v>1.2479617334662416</v>
      </c>
      <c r="M54" s="48">
        <f t="shared" si="15"/>
        <v>0.21650635100000001</v>
      </c>
      <c r="N54" s="48">
        <f t="shared" si="16"/>
        <v>1.9462143264255958</v>
      </c>
      <c r="AC54" s="47">
        <v>10</v>
      </c>
      <c r="AD54" s="37" t="s">
        <v>52</v>
      </c>
      <c r="AE54" s="68" t="str">
        <f>VLOOKUP(AD54, GADA!$B$27:$D$38, 2, FALSE)</f>
        <v>Mobile Legends: Bang Bang</v>
      </c>
      <c r="AF54" s="54"/>
      <c r="AG54" s="68">
        <v>9.4034840379999998E-2</v>
      </c>
      <c r="AH54" s="53"/>
      <c r="AI54" s="79" t="s">
        <v>91</v>
      </c>
      <c r="AJ54" s="79"/>
      <c r="AK54" s="79"/>
    </row>
    <row r="55" spans="2:37" ht="13" x14ac:dyDescent="0.3">
      <c r="B55" s="45"/>
      <c r="C55" s="45"/>
      <c r="G55" s="74"/>
      <c r="H55" s="59"/>
      <c r="I55" s="75"/>
      <c r="J55" s="37" t="s">
        <v>59</v>
      </c>
      <c r="K55" s="48">
        <f t="shared" si="13"/>
        <v>0.30468307579093939</v>
      </c>
      <c r="L55" s="48">
        <f t="shared" si="14"/>
        <v>1.2739055643079904</v>
      </c>
      <c r="M55" s="48">
        <f t="shared" si="15"/>
        <v>0.35355339062500002</v>
      </c>
      <c r="N55" s="48">
        <f t="shared" si="16"/>
        <v>1.9321420307239299</v>
      </c>
    </row>
    <row r="56" spans="2:37" ht="13" x14ac:dyDescent="0.3">
      <c r="B56" s="45"/>
      <c r="C56" s="45"/>
      <c r="G56" s="74"/>
      <c r="H56" s="59"/>
      <c r="I56" s="75"/>
      <c r="J56" s="37" t="s">
        <v>61</v>
      </c>
      <c r="K56" s="48">
        <f t="shared" si="13"/>
        <v>0.43088693797043032</v>
      </c>
      <c r="L56" s="48">
        <f t="shared" si="14"/>
        <v>1.5401395375902094</v>
      </c>
      <c r="M56" s="48">
        <f t="shared" si="15"/>
        <v>0.375</v>
      </c>
      <c r="N56" s="48">
        <f t="shared" si="16"/>
        <v>2.3460264755606399</v>
      </c>
    </row>
    <row r="57" spans="2:37" ht="13" x14ac:dyDescent="0.3">
      <c r="B57" s="45"/>
      <c r="C57" s="45"/>
      <c r="G57" s="74"/>
      <c r="H57" s="59"/>
      <c r="I57" s="75"/>
      <c r="J57" s="37" t="s">
        <v>63</v>
      </c>
      <c r="K57" s="48">
        <f t="shared" si="13"/>
        <v>0.43088693797043032</v>
      </c>
      <c r="L57" s="48">
        <f t="shared" si="14"/>
        <v>1.810209306385314</v>
      </c>
      <c r="M57" s="48">
        <f t="shared" si="15"/>
        <v>0.375</v>
      </c>
      <c r="N57" s="48">
        <f t="shared" si="16"/>
        <v>2.6160962443557443</v>
      </c>
    </row>
    <row r="58" spans="2:37" ht="13" x14ac:dyDescent="0.3">
      <c r="B58" s="45"/>
      <c r="C58" s="45"/>
      <c r="G58" s="63"/>
      <c r="H58" s="64"/>
      <c r="I58" s="65"/>
      <c r="J58" s="37" t="s">
        <v>65</v>
      </c>
      <c r="K58" s="48">
        <f t="shared" si="13"/>
        <v>0.32316520347782274</v>
      </c>
      <c r="L58" s="48">
        <f t="shared" si="14"/>
        <v>1.560209306385314</v>
      </c>
      <c r="M58" s="48">
        <f t="shared" si="15"/>
        <v>0.25</v>
      </c>
      <c r="N58" s="48">
        <f t="shared" si="16"/>
        <v>2.1333745098631365</v>
      </c>
    </row>
    <row r="59" spans="2:37" ht="13" x14ac:dyDescent="0.3">
      <c r="J59" s="37" t="s">
        <v>67</v>
      </c>
      <c r="K59" s="48">
        <f t="shared" si="13"/>
        <v>0.21544346898521516</v>
      </c>
      <c r="L59" s="48">
        <f t="shared" si="14"/>
        <v>1.310209306385314</v>
      </c>
      <c r="M59" s="48">
        <f t="shared" si="15"/>
        <v>0.375</v>
      </c>
      <c r="N59" s="48">
        <f t="shared" si="16"/>
        <v>1.9006527753705291</v>
      </c>
    </row>
    <row r="60" spans="2:37" ht="13" x14ac:dyDescent="0.3">
      <c r="J60" s="37" t="s">
        <v>69</v>
      </c>
      <c r="K60" s="48">
        <f t="shared" si="13"/>
        <v>0.43088693797043032</v>
      </c>
      <c r="L60" s="48">
        <f t="shared" si="14"/>
        <v>1.8900589733486672</v>
      </c>
      <c r="M60" s="48">
        <f t="shared" si="15"/>
        <v>0.5</v>
      </c>
      <c r="N60" s="48">
        <f t="shared" si="16"/>
        <v>2.8209459113190976</v>
      </c>
    </row>
    <row r="61" spans="2:37" ht="12.5" x14ac:dyDescent="0.25">
      <c r="B61" s="45"/>
      <c r="C61" s="45"/>
      <c r="D61" s="45"/>
      <c r="E61" s="45"/>
      <c r="F61" s="45"/>
      <c r="G61" s="45"/>
      <c r="H61" s="45"/>
      <c r="I61" s="45"/>
      <c r="O61" s="45"/>
      <c r="P61" s="45"/>
      <c r="Q61" s="45"/>
    </row>
    <row r="62" spans="2:37" ht="12.5" x14ac:dyDescent="0.25">
      <c r="B62" s="86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</row>
    <row r="63" spans="2:37" ht="12.5" x14ac:dyDescent="0.25">
      <c r="B63" s="59"/>
      <c r="J63" s="66" t="s">
        <v>92</v>
      </c>
      <c r="K63" s="61"/>
      <c r="L63" s="61"/>
      <c r="M63" s="61"/>
      <c r="N63" s="61"/>
      <c r="O63" s="61"/>
      <c r="P63" s="61"/>
      <c r="Q63" s="61"/>
      <c r="R63" s="61"/>
      <c r="S63" s="61"/>
      <c r="T63" s="62"/>
    </row>
    <row r="64" spans="2:37" ht="12.5" x14ac:dyDescent="0.25">
      <c r="J64" s="63"/>
      <c r="K64" s="64"/>
      <c r="L64" s="64"/>
      <c r="M64" s="64"/>
      <c r="N64" s="64"/>
      <c r="O64" s="64"/>
      <c r="P64" s="64"/>
      <c r="Q64" s="64"/>
      <c r="R64" s="64"/>
      <c r="S64" s="64"/>
      <c r="T64" s="65"/>
    </row>
    <row r="65" spans="7:20" ht="13" x14ac:dyDescent="0.3">
      <c r="J65" s="34" t="s">
        <v>78</v>
      </c>
      <c r="K65" s="33" t="s">
        <v>52</v>
      </c>
      <c r="L65" s="33" t="s">
        <v>54</v>
      </c>
      <c r="M65" s="33" t="s">
        <v>56</v>
      </c>
      <c r="N65" s="33" t="s">
        <v>57</v>
      </c>
      <c r="O65" s="33" t="s">
        <v>59</v>
      </c>
      <c r="P65" s="33" t="s">
        <v>61</v>
      </c>
      <c r="Q65" s="33" t="s">
        <v>63</v>
      </c>
      <c r="R65" s="33" t="s">
        <v>65</v>
      </c>
      <c r="S65" s="33" t="s">
        <v>67</v>
      </c>
      <c r="T65" s="33" t="s">
        <v>69</v>
      </c>
    </row>
    <row r="66" spans="7:20" ht="13" x14ac:dyDescent="0.3">
      <c r="G66" s="73"/>
      <c r="H66" s="61"/>
      <c r="I66" s="62"/>
      <c r="J66" s="37" t="s">
        <v>52</v>
      </c>
      <c r="K66" s="49">
        <f>(1+N51+N51)/(1+N51+(N51-N51))</f>
        <v>1.7391555728746002</v>
      </c>
      <c r="L66" s="49">
        <f>(1+N51+N52)/(1+N52+(N51-N52))</f>
        <v>1.6557870457738191</v>
      </c>
      <c r="M66" s="48">
        <f>(1+N51+N53)/(1+N53+(N51-N53))</f>
        <v>1.5449752776165513</v>
      </c>
      <c r="N66" s="48">
        <f>(1+N51+N54)/(1+N54+(N51-N54))</f>
        <v>1.5076591610397301</v>
      </c>
      <c r="O66" s="48">
        <f>(1+N51+N55)/(1+N55+(N51-N55))</f>
        <v>1.50398848112909</v>
      </c>
      <c r="P66" s="48">
        <f>(1+N51+N56)/(1+N56+(N51-N56))</f>
        <v>1.6119479320386358</v>
      </c>
      <c r="Q66" s="48">
        <f>(1+N51+N57)/(1+N57+(N51-N57))</f>
        <v>1.682394126163884</v>
      </c>
      <c r="R66" s="48">
        <f>(1+N51+N58)/(1+N58+(N51-N58))</f>
        <v>1.5564788518691803</v>
      </c>
      <c r="S66" s="48">
        <f>(1+N51+N59)/(1+N59+(N51-N59))</f>
        <v>1.4957746843558268</v>
      </c>
      <c r="T66" s="48">
        <f>(1+N51+N60)/(1+N60+(N51-N60))</f>
        <v>1.7358280201897687</v>
      </c>
    </row>
    <row r="67" spans="7:20" ht="13" x14ac:dyDescent="0.3">
      <c r="G67" s="74"/>
      <c r="H67" s="59"/>
      <c r="I67" s="75"/>
      <c r="J67" s="37" t="s">
        <v>54</v>
      </c>
      <c r="K67" s="48">
        <f>(1+N52+N51)/(1+N51+(N52-N51))</f>
        <v>1.806382493650061</v>
      </c>
      <c r="L67" s="48">
        <f>(1+N52+N52)/(1+N52+(N52-N52))</f>
        <v>1.7154315176410282</v>
      </c>
      <c r="M67" s="48">
        <f>(1+N52+N53)/(1+N53+(N52-N53))</f>
        <v>1.5945413110165703</v>
      </c>
      <c r="N67" s="48">
        <f>(1+N52+N54)/(1+N54+(N52-N54))</f>
        <v>1.5538312572162203</v>
      </c>
      <c r="O67" s="48">
        <f>(1+N52+N55)/(1+N55+(N52-N55))</f>
        <v>1.5498267253850908</v>
      </c>
      <c r="P67" s="48">
        <f>(1+N52+N56)/(1+N56+(N52-N56))</f>
        <v>1.6676051937242589</v>
      </c>
      <c r="Q67" s="48">
        <f>(1+N52+N57)/(1+N57+(N52-N57))</f>
        <v>1.7444585379613202</v>
      </c>
      <c r="R67" s="48">
        <f>(1+N52+N58)/(1+N58+(N52-N58))</f>
        <v>1.6070911465750681</v>
      </c>
      <c r="S67" s="48">
        <f>(1+N52+N59)/(1+N59+(N52-N59))</f>
        <v>1.5408658757785594</v>
      </c>
      <c r="T67" s="48">
        <f>(1+N52+N60)/(1+N60+(N52-N60))</f>
        <v>1.8027522968008225</v>
      </c>
    </row>
    <row r="68" spans="7:20" ht="13" x14ac:dyDescent="0.3">
      <c r="G68" s="74"/>
      <c r="H68" s="59"/>
      <c r="I68" s="75"/>
      <c r="J68" s="37" t="s">
        <v>56</v>
      </c>
      <c r="K68" s="48">
        <f>(1+N53+N51)/(1+N51+(N53-N51))</f>
        <v>1.9172716533548921</v>
      </c>
      <c r="L68" s="48">
        <f>(1+N53+N52)/(1+N52+(N53-N52))</f>
        <v>1.8138136135350809</v>
      </c>
      <c r="M68" s="48">
        <f>(1+N53+N53)/(1+N53+(N53-N53))</f>
        <v>1.6762992694390237</v>
      </c>
      <c r="N68" s="48">
        <f>(1+N53+N54)/(1+N54+(N53-N54))</f>
        <v>1.6299909992922037</v>
      </c>
      <c r="O68" s="48">
        <f>(1+N53+N55)/(1+N55+(N53-N55))</f>
        <v>1.6254357868929041</v>
      </c>
      <c r="P68" s="48">
        <f>(1+N53+N56)/(1+N56+(N53-N56))</f>
        <v>1.7594104840543716</v>
      </c>
      <c r="Q68" s="48">
        <f>(1+N53+N57)/(1+N57+(N53-N57))</f>
        <v>1.8468322655157805</v>
      </c>
      <c r="R68" s="48">
        <f>(1+N53+N58)/(1+N58+(N53-N58))</f>
        <v>1.6905748874028621</v>
      </c>
      <c r="S68" s="48">
        <f>(1+N53+N59)/(1+N59+(N53-N59))</f>
        <v>1.6152426919301874</v>
      </c>
      <c r="T68" s="48">
        <f>(1+N53+N60)/(1+N60+(N53-N60))</f>
        <v>1.9131422523669908</v>
      </c>
    </row>
    <row r="69" spans="7:20" ht="13" x14ac:dyDescent="0.3">
      <c r="G69" s="74"/>
      <c r="H69" s="59"/>
      <c r="I69" s="75"/>
      <c r="J69" s="37" t="s">
        <v>57</v>
      </c>
      <c r="K69" s="48">
        <f>(1+N54+N51)/(1+N51+(N54-N51))</f>
        <v>1.9618114791622498</v>
      </c>
      <c r="L69" s="48">
        <f>(1+N54+N52)/(1+N52+(N54-N52))</f>
        <v>1.8533298424013456</v>
      </c>
      <c r="M69" s="48">
        <f>(1+N54+N53)/(1+N53+(N54-N53))</f>
        <v>1.7091382343675554</v>
      </c>
      <c r="N69" s="48">
        <f>(1+N54+N54)/(1+N54+(N54-N54))</f>
        <v>1.6605813803053429</v>
      </c>
      <c r="O69" s="48">
        <f>(1+N54+N55)/(1+N55+(N54-N55))</f>
        <v>1.6558049811223485</v>
      </c>
      <c r="P69" s="48">
        <f>(1+N54+N56)/(1+N56+(N54-N56))</f>
        <v>1.7962850681019138</v>
      </c>
      <c r="Q69" s="48">
        <f>(1+N54+N57)/(1+N57+(N54-N57))</f>
        <v>1.8879517762476037</v>
      </c>
      <c r="R69" s="48">
        <f>(1+N54+N58)/(1+N58+(N54-N58))</f>
        <v>1.7241070314295115</v>
      </c>
      <c r="S69" s="48">
        <f>(1+N54+N59)/(1+N59+(N54-N59))</f>
        <v>1.6451169415350844</v>
      </c>
      <c r="T69" s="48">
        <f>(1+N54+N60)/(1+N60+(N54-N60))</f>
        <v>1.9574815674532151</v>
      </c>
    </row>
    <row r="70" spans="7:20" ht="13" x14ac:dyDescent="0.3">
      <c r="G70" s="74"/>
      <c r="H70" s="59"/>
      <c r="I70" s="75"/>
      <c r="J70" s="37" t="s">
        <v>59</v>
      </c>
      <c r="K70" s="48">
        <f>(1+N55+N51)/(1+N51+(N55-N51))</f>
        <v>1.9664275227925396</v>
      </c>
      <c r="L70" s="48">
        <f>(1+N55+N52)/(1+N52+(N55-N52))</f>
        <v>1.8574252476537176</v>
      </c>
      <c r="M70" s="48">
        <f>(1+N55+N53)/(1+N53+(N55-N53))</f>
        <v>1.7125416175675545</v>
      </c>
      <c r="N70" s="48">
        <f>(1+N55+N54)/(1+N54+(N55-N54))</f>
        <v>1.6637517234951564</v>
      </c>
      <c r="O70" s="48">
        <f>(1+N55+N55)/(1+N55+(N55-N55))</f>
        <v>1.6589524008313112</v>
      </c>
      <c r="P70" s="48">
        <f>(1+N55+N56)/(1+N56+(N55-N56))</f>
        <v>1.8001066970761368</v>
      </c>
      <c r="Q70" s="48">
        <f>(1+N55+N57)/(1+N57+(N55-N57))</f>
        <v>1.8922133433317501</v>
      </c>
      <c r="R70" s="48">
        <f>(1+N55+N58)/(1+N58+(N55-N58))</f>
        <v>1.727582254716501</v>
      </c>
      <c r="S70" s="48">
        <f>(1+N55+N59)/(1+N59+(N55-N59))</f>
        <v>1.648213065893424</v>
      </c>
      <c r="T70" s="48">
        <f>(1+N55+N60)/(1+N60+(N55-N60))</f>
        <v>1.9620768304401071</v>
      </c>
    </row>
    <row r="71" spans="7:20" ht="13" x14ac:dyDescent="0.3">
      <c r="G71" s="74"/>
      <c r="H71" s="59"/>
      <c r="I71" s="75"/>
      <c r="J71" s="37" t="s">
        <v>61</v>
      </c>
      <c r="K71" s="48">
        <f>(1+N56+N51)/(1+N51+(N56-N51))</f>
        <v>1.8468859346827542</v>
      </c>
      <c r="L71" s="48">
        <f>(1+N56+N52)/(1+N52+(N56-N52))</f>
        <v>1.7513666210390921</v>
      </c>
      <c r="M71" s="48">
        <f>(1+N56+N53)/(1+N53+(N56-N53))</f>
        <v>1.6244042719834659</v>
      </c>
      <c r="N71" s="48">
        <f>(1+N56+N54)/(1+N54+(N56-N54))</f>
        <v>1.5816494103201917</v>
      </c>
      <c r="O71" s="48">
        <f>(1+N56+N55)/(1+N55+(N56-N55))</f>
        <v>1.5774437365741978</v>
      </c>
      <c r="P71" s="48">
        <f>(1+N56+N56)/(1+N56+(N56-N56))</f>
        <v>1.7011380491744477</v>
      </c>
      <c r="Q71" s="48">
        <f>(1+N56+N57)/(1+N57+(N56-N57))</f>
        <v>1.7818516271355584</v>
      </c>
      <c r="R71" s="48">
        <f>(1+N56+N58)/(1+N58+(N56-N58))</f>
        <v>1.6375844678592033</v>
      </c>
      <c r="S71" s="48">
        <f>(1+N56+N59)/(1+N59+(N56-N59))</f>
        <v>1.5680327962892366</v>
      </c>
      <c r="T71" s="48">
        <f>(1+N56+N60)/(1+N60+(N56-N60))</f>
        <v>1.843073398230191</v>
      </c>
    </row>
    <row r="72" spans="7:20" ht="13" x14ac:dyDescent="0.3">
      <c r="G72" s="74"/>
      <c r="H72" s="59"/>
      <c r="I72" s="75"/>
      <c r="J72" s="37" t="s">
        <v>63</v>
      </c>
      <c r="K72" s="48">
        <f>(1+N57+N51)/(1+N51+(N57-N51))</f>
        <v>1.7836358790647389</v>
      </c>
      <c r="L72" s="48">
        <f>(1+N57+N52)/(1+N52+(N57-N52))</f>
        <v>1.6952504681736587</v>
      </c>
      <c r="M72" s="48">
        <f>(1+N57+N53)/(1+N53+(N57-N53))</f>
        <v>1.5777703590635694</v>
      </c>
      <c r="N72" s="48">
        <f>(1+N57+N54)/(1+N54+(N57-N54))</f>
        <v>1.5382086634069498</v>
      </c>
      <c r="O72" s="48">
        <f>(1+N57+N55)/(1+N55+(N57-N55))</f>
        <v>1.5343170922897178</v>
      </c>
      <c r="P72" s="48">
        <f>(1+N57+N56)/(1+N56+(N57-N56))</f>
        <v>1.6487732397118804</v>
      </c>
      <c r="Q72" s="48">
        <f>(1+N57+N57)/(1+N57+(N57-N57))</f>
        <v>1.7234586879260003</v>
      </c>
      <c r="R72" s="48">
        <f>(1+N57+N58)/(1+N58+(N57-N58))</f>
        <v>1.5899661861027776</v>
      </c>
      <c r="S72" s="48">
        <f>(1+N57+N59)/(1+N59+(N57-N59))</f>
        <v>1.525609012298055</v>
      </c>
      <c r="T72" s="48">
        <f>(1+N57+N60)/(1+N60+(N57-N60))</f>
        <v>1.780108083605968</v>
      </c>
    </row>
    <row r="73" spans="7:20" ht="13" x14ac:dyDescent="0.3">
      <c r="G73" s="63"/>
      <c r="H73" s="64"/>
      <c r="I73" s="65"/>
      <c r="J73" s="37" t="s">
        <v>65</v>
      </c>
      <c r="K73" s="48">
        <f>(1+N58+N51)/(1+N51+(N58-N51))</f>
        <v>1.9043613364149656</v>
      </c>
      <c r="L73" s="48">
        <f>(1+N58+N52)/(1+N52+(N58-N52))</f>
        <v>1.8023594367464086</v>
      </c>
      <c r="M73" s="48">
        <f>(1+N58+N53)/(1+N53+(N58-N53))</f>
        <v>1.6667805648298013</v>
      </c>
      <c r="N73" s="48">
        <f>(1+N58+N54)/(1+N54+(N58-N54))</f>
        <v>1.6211240693697366</v>
      </c>
      <c r="O73" s="48">
        <f>(1+N58+N55)/(1+N55+(N58-N55))</f>
        <v>1.6166329701866133</v>
      </c>
      <c r="P73" s="48">
        <f>(1+N58+N56)/(1+N56+(N58-N56))</f>
        <v>1.7487220146126461</v>
      </c>
      <c r="Q73" s="48">
        <f>(1+N58+N57)/(1+N57+(N58-N57))</f>
        <v>1.8349133613364377</v>
      </c>
      <c r="R73" s="48">
        <f>(1+N58+N58)/(1+N58+(N58-N58))</f>
        <v>1.6808552578530809</v>
      </c>
      <c r="S73" s="48">
        <f>(1+N58+N59)/(1+N59+(N58-N59))</f>
        <v>1.606583339906454</v>
      </c>
      <c r="T73" s="48">
        <f>(1+N58+N60)/(1+N60+(N58-N60))</f>
        <v>1.9002900554783393</v>
      </c>
    </row>
    <row r="74" spans="7:20" ht="13" x14ac:dyDescent="0.3">
      <c r="J74" s="37" t="s">
        <v>67</v>
      </c>
      <c r="K74" s="48">
        <f>(1+N59+N51)/(1+N51+(N59-N51))</f>
        <v>1.9769189829577025</v>
      </c>
      <c r="L74" s="48">
        <f>(1+N59+N52)/(1+N52+(N59-N52))</f>
        <v>1.8667333878072292</v>
      </c>
      <c r="M74" s="48">
        <f>(1+N59+N53)/(1+N53+(N59-N53))</f>
        <v>1.7202769125797761</v>
      </c>
      <c r="N74" s="48">
        <f>(1+N59+N54)/(1+N54+(N59-N54))</f>
        <v>1.6709573593057814</v>
      </c>
      <c r="O74" s="48">
        <f>(1+N59+N55)/(1+N55+(N59-N55))</f>
        <v>1.6661059355775936</v>
      </c>
      <c r="P74" s="48">
        <f>(1+N59+N56)/(1+N56+(N59-N56))</f>
        <v>1.8087925916127481</v>
      </c>
      <c r="Q74" s="48">
        <f>(1+N59+N57)/(1+N57+(N59-N57))</f>
        <v>1.9018991402794028</v>
      </c>
      <c r="R74" s="48">
        <f>(1+N59+N58)/(1+N58+(N59-N58))</f>
        <v>1.7354808296869038</v>
      </c>
      <c r="S74" s="48">
        <f>(1+N59+N59)/(1+N59+(N59-N59))</f>
        <v>1.6552500152755236</v>
      </c>
      <c r="T74" s="48">
        <f>(1+N59+N60)/(1+N60+(N59-N60))</f>
        <v>1.9725210598358329</v>
      </c>
    </row>
    <row r="75" spans="7:20" ht="13" x14ac:dyDescent="0.3">
      <c r="J75" s="37" t="s">
        <v>69</v>
      </c>
      <c r="K75" s="48">
        <f>(1+N60+N51)/(1+N51+(N60-N51))</f>
        <v>1.7416233636895793</v>
      </c>
      <c r="L75" s="48">
        <f>(1+N60+N52)/(1+N52+(N60-N52))</f>
        <v>1.6579764972337452</v>
      </c>
      <c r="M75" s="48">
        <f>(1+N60+N53)/(1+N53+(N60-N53))</f>
        <v>1.5467947660082337</v>
      </c>
      <c r="N75" s="48">
        <f>(1+N60+N54)/(1+N54+(N60-N54))</f>
        <v>1.5093540635213307</v>
      </c>
      <c r="O75" s="48">
        <f>(1+N60+N55)/(1+N55+(N60-N55))</f>
        <v>1.5056711284502062</v>
      </c>
      <c r="P75" s="48">
        <f>(1+N60+N56)/(1+N56+(N60-N56))</f>
        <v>1.613991019504049</v>
      </c>
      <c r="Q75" s="48">
        <f>(1+N60+N57)/(1+N57+(N60-N57))</f>
        <v>1.6846724096789412</v>
      </c>
      <c r="R75" s="48">
        <f>(1+N60+N58)/(1+N58+(N60-N58))</f>
        <v>1.5583367468100682</v>
      </c>
      <c r="S75" s="48">
        <f>(1+N60+N59)/(1+N59+(N60-N59))</f>
        <v>1.4974299085836498</v>
      </c>
      <c r="T75" s="48">
        <f>(1+N60+N60)/(1+N60+(N60-N60))</f>
        <v>1.7382847014301828</v>
      </c>
    </row>
    <row r="80" spans="7:20" ht="12.5" x14ac:dyDescent="0.25">
      <c r="J80" s="58" t="s">
        <v>93</v>
      </c>
      <c r="K80" s="59"/>
      <c r="L80" s="59"/>
      <c r="M80" s="59"/>
      <c r="N80" s="59"/>
      <c r="O80" s="59"/>
    </row>
    <row r="81" spans="7:20" ht="15.75" customHeight="1" x14ac:dyDescent="0.25">
      <c r="J81" s="59"/>
      <c r="K81" s="59"/>
      <c r="L81" s="59"/>
      <c r="M81" s="59"/>
      <c r="N81" s="59"/>
      <c r="O81" s="59"/>
    </row>
    <row r="84" spans="7:20" ht="13" x14ac:dyDescent="0.25">
      <c r="J84" s="66" t="s">
        <v>94</v>
      </c>
      <c r="K84" s="61"/>
      <c r="L84" s="61"/>
      <c r="M84" s="61"/>
      <c r="N84" s="62"/>
      <c r="O84" s="32"/>
    </row>
    <row r="85" spans="7:20" ht="13" x14ac:dyDescent="0.25">
      <c r="J85" s="63"/>
      <c r="K85" s="64"/>
      <c r="L85" s="64"/>
      <c r="M85" s="64"/>
      <c r="N85" s="65"/>
      <c r="O85" s="32"/>
      <c r="P85" s="32"/>
      <c r="Q85" s="32"/>
      <c r="R85" s="32"/>
      <c r="S85" s="32"/>
      <c r="T85" s="32"/>
    </row>
    <row r="86" spans="7:20" ht="13" x14ac:dyDescent="0.3">
      <c r="J86" s="34" t="s">
        <v>78</v>
      </c>
      <c r="K86" s="34" t="s">
        <v>95</v>
      </c>
      <c r="L86" s="34" t="s">
        <v>96</v>
      </c>
      <c r="M86" s="69" t="s">
        <v>35</v>
      </c>
      <c r="N86" s="54"/>
      <c r="O86" s="45"/>
      <c r="P86" s="32"/>
      <c r="Q86" s="32"/>
      <c r="R86" s="32"/>
      <c r="S86" s="32"/>
      <c r="T86" s="32"/>
    </row>
    <row r="87" spans="7:20" ht="13" x14ac:dyDescent="0.3">
      <c r="G87" s="73"/>
      <c r="H87" s="61"/>
      <c r="I87" s="62"/>
      <c r="J87" s="37" t="s">
        <v>52</v>
      </c>
      <c r="K87" s="35">
        <f>PRODUCT(K66:T66)</f>
        <v>110.56227816368613</v>
      </c>
      <c r="L87" s="35">
        <f t="shared" ref="L87:L96" si="17">POWER(K87,1/10)</f>
        <v>1.6008870734995353</v>
      </c>
      <c r="M87" s="68">
        <f>L87/L97</f>
        <v>9.403484037848274E-2</v>
      </c>
      <c r="N87" s="54"/>
      <c r="P87" s="45"/>
      <c r="Q87" s="45"/>
      <c r="R87" s="45"/>
      <c r="S87" s="45"/>
      <c r="T87" s="45"/>
    </row>
    <row r="88" spans="7:20" ht="13" x14ac:dyDescent="0.3">
      <c r="G88" s="74"/>
      <c r="H88" s="59"/>
      <c r="I88" s="75"/>
      <c r="J88" s="37" t="s">
        <v>54</v>
      </c>
      <c r="K88" s="35">
        <f t="shared" ref="K88:K96" si="18">PRODUCT(K67:T67)</f>
        <v>154.52586007430298</v>
      </c>
      <c r="L88" s="35">
        <f t="shared" si="17"/>
        <v>1.6553891980141582</v>
      </c>
      <c r="M88" s="68">
        <f>L88/L97</f>
        <v>9.7236252060705464E-2</v>
      </c>
      <c r="N88" s="54"/>
    </row>
    <row r="89" spans="7:20" ht="13" x14ac:dyDescent="0.3">
      <c r="G89" s="74"/>
      <c r="H89" s="59"/>
      <c r="I89" s="75"/>
      <c r="J89" s="37" t="s">
        <v>56</v>
      </c>
      <c r="K89" s="35">
        <f t="shared" si="18"/>
        <v>262.17844198211742</v>
      </c>
      <c r="L89" s="50">
        <f t="shared" si="17"/>
        <v>1.7452582427510586</v>
      </c>
      <c r="M89" s="68">
        <f>L89/L97</f>
        <v>0.10251508866117078</v>
      </c>
      <c r="N89" s="54"/>
    </row>
    <row r="90" spans="7:20" ht="13" x14ac:dyDescent="0.3">
      <c r="G90" s="74"/>
      <c r="H90" s="59"/>
      <c r="I90" s="75"/>
      <c r="J90" s="37" t="s">
        <v>57</v>
      </c>
      <c r="K90" s="50">
        <f t="shared" si="18"/>
        <v>321.72244786128147</v>
      </c>
      <c r="L90" s="35">
        <f t="shared" si="17"/>
        <v>1.7813453992381099</v>
      </c>
      <c r="M90" s="68">
        <f>L90/L97</f>
        <v>0.10463481968789155</v>
      </c>
      <c r="N90" s="54"/>
    </row>
    <row r="91" spans="7:20" ht="13" x14ac:dyDescent="0.3">
      <c r="G91" s="74"/>
      <c r="H91" s="59"/>
      <c r="I91" s="75"/>
      <c r="J91" s="37" t="s">
        <v>59</v>
      </c>
      <c r="K91" s="35">
        <f t="shared" si="18"/>
        <v>328.54080082098369</v>
      </c>
      <c r="L91" s="35">
        <f t="shared" si="17"/>
        <v>1.7850851253432796</v>
      </c>
      <c r="M91" s="68">
        <f>L91/L97</f>
        <v>0.10485448824114568</v>
      </c>
      <c r="N91" s="54"/>
    </row>
    <row r="92" spans="7:20" ht="13" x14ac:dyDescent="0.3">
      <c r="G92" s="74"/>
      <c r="H92" s="59"/>
      <c r="I92" s="75"/>
      <c r="J92" s="37" t="s">
        <v>61</v>
      </c>
      <c r="K92" s="35">
        <f t="shared" si="18"/>
        <v>188.05632577387001</v>
      </c>
      <c r="L92" s="35">
        <f t="shared" si="17"/>
        <v>1.6882190425750361</v>
      </c>
      <c r="M92" s="68">
        <f>L92/L97</f>
        <v>9.9164651161451553E-2</v>
      </c>
      <c r="N92" s="54"/>
    </row>
    <row r="93" spans="7:20" ht="13" x14ac:dyDescent="0.3">
      <c r="G93" s="74"/>
      <c r="H93" s="59"/>
      <c r="I93" s="75"/>
      <c r="J93" s="37" t="s">
        <v>63</v>
      </c>
      <c r="K93" s="35">
        <f t="shared" si="18"/>
        <v>138.15084823013879</v>
      </c>
      <c r="L93" s="35">
        <f t="shared" si="17"/>
        <v>1.6369497788188083</v>
      </c>
      <c r="M93" s="68">
        <f>L93/L97</f>
        <v>9.6153135162949363E-2</v>
      </c>
      <c r="N93" s="54"/>
    </row>
    <row r="94" spans="7:20" ht="13" x14ac:dyDescent="0.3">
      <c r="G94" s="63"/>
      <c r="H94" s="64"/>
      <c r="I94" s="65"/>
      <c r="J94" s="37" t="s">
        <v>65</v>
      </c>
      <c r="K94" s="35">
        <f t="shared" si="18"/>
        <v>246.88044182844072</v>
      </c>
      <c r="L94" s="35">
        <f t="shared" si="17"/>
        <v>1.7347970245553155</v>
      </c>
      <c r="M94" s="68">
        <f>L94/L97</f>
        <v>0.10190060497928884</v>
      </c>
      <c r="N94" s="54"/>
    </row>
    <row r="95" spans="7:20" ht="13" x14ac:dyDescent="0.3">
      <c r="J95" s="37" t="s">
        <v>67</v>
      </c>
      <c r="K95" s="35">
        <f t="shared" si="18"/>
        <v>344.52348319788854</v>
      </c>
      <c r="L95" s="35">
        <f t="shared" si="17"/>
        <v>1.7935846685170282</v>
      </c>
      <c r="M95" s="68">
        <f>L95/L97</f>
        <v>0.10535374468394168</v>
      </c>
      <c r="N95" s="54"/>
    </row>
    <row r="96" spans="7:20" ht="13" x14ac:dyDescent="0.3">
      <c r="J96" s="37" t="s">
        <v>69</v>
      </c>
      <c r="K96" s="35">
        <f t="shared" si="18"/>
        <v>111.95200014834514</v>
      </c>
      <c r="L96" s="35">
        <f t="shared" si="17"/>
        <v>1.6028880300413773</v>
      </c>
      <c r="M96" s="68">
        <f>L96/L97</f>
        <v>9.4152374982972409E-2</v>
      </c>
      <c r="N96" s="54"/>
    </row>
    <row r="97" spans="7:21" ht="13" x14ac:dyDescent="0.3">
      <c r="J97" s="43" t="s">
        <v>70</v>
      </c>
      <c r="K97" s="43"/>
      <c r="L97" s="43">
        <f t="shared" ref="L97:M97" si="19">SUM(L87:L96)</f>
        <v>17.024403583353706</v>
      </c>
      <c r="M97" s="81">
        <f t="shared" si="19"/>
        <v>1</v>
      </c>
      <c r="N97" s="54"/>
    </row>
    <row r="102" spans="7:21" ht="12.5" x14ac:dyDescent="0.25">
      <c r="J102" s="58" t="s">
        <v>97</v>
      </c>
      <c r="K102" s="59"/>
      <c r="L102" s="59"/>
      <c r="M102" s="59"/>
      <c r="N102" s="59"/>
      <c r="O102" s="59"/>
    </row>
    <row r="103" spans="7:21" ht="15.75" customHeight="1" x14ac:dyDescent="0.25">
      <c r="J103" s="59"/>
      <c r="K103" s="59"/>
      <c r="L103" s="59"/>
      <c r="M103" s="59"/>
      <c r="N103" s="59"/>
      <c r="O103" s="59"/>
    </row>
    <row r="106" spans="7:21" ht="13" x14ac:dyDescent="0.25">
      <c r="J106" s="66" t="s">
        <v>98</v>
      </c>
      <c r="K106" s="61"/>
      <c r="L106" s="61"/>
      <c r="M106" s="61"/>
      <c r="N106" s="62"/>
      <c r="O106" s="32"/>
    </row>
    <row r="107" spans="7:21" ht="13" x14ac:dyDescent="0.25">
      <c r="J107" s="63"/>
      <c r="K107" s="64"/>
      <c r="L107" s="64"/>
      <c r="M107" s="64"/>
      <c r="N107" s="65"/>
      <c r="O107" s="32"/>
    </row>
    <row r="108" spans="7:21" ht="13" x14ac:dyDescent="0.3">
      <c r="J108" s="34" t="s">
        <v>32</v>
      </c>
      <c r="K108" s="34" t="s">
        <v>95</v>
      </c>
      <c r="L108" s="34" t="s">
        <v>99</v>
      </c>
      <c r="M108" s="69" t="s">
        <v>100</v>
      </c>
      <c r="N108" s="54"/>
      <c r="O108" s="45"/>
    </row>
    <row r="109" spans="7:21" ht="13" x14ac:dyDescent="0.3">
      <c r="G109" s="73"/>
      <c r="H109" s="61"/>
      <c r="I109" s="62"/>
      <c r="J109" s="37" t="s">
        <v>37</v>
      </c>
      <c r="K109" s="35">
        <f>PRODUCT(K66:K75)</f>
        <v>501.88678237361813</v>
      </c>
      <c r="L109" s="35">
        <f t="shared" ref="L109:L118" si="20">POWER(K109,1/10)</f>
        <v>1.8623468805625416</v>
      </c>
      <c r="M109" s="68">
        <f>L109/L119</f>
        <v>0.10928378747856515</v>
      </c>
      <c r="N109" s="54"/>
      <c r="P109" s="84" t="s">
        <v>81</v>
      </c>
      <c r="Q109" s="53"/>
      <c r="R109" s="53"/>
      <c r="S109" s="53"/>
      <c r="T109" s="53"/>
      <c r="U109" s="54"/>
    </row>
    <row r="110" spans="7:21" ht="13" x14ac:dyDescent="0.3">
      <c r="G110" s="74"/>
      <c r="H110" s="59"/>
      <c r="I110" s="75"/>
      <c r="J110" s="37" t="s">
        <v>40</v>
      </c>
      <c r="K110" s="35">
        <f>PRODUCT(L66:L75)</f>
        <v>293.72952116013431</v>
      </c>
      <c r="L110" s="35">
        <f t="shared" si="20"/>
        <v>1.7652034180829375</v>
      </c>
      <c r="M110" s="68">
        <f>L110/L119</f>
        <v>0.10358334272288877</v>
      </c>
      <c r="N110" s="54"/>
      <c r="P110" s="85" t="s">
        <v>101</v>
      </c>
      <c r="Q110" s="61"/>
      <c r="R110" s="61"/>
      <c r="S110" s="61"/>
      <c r="T110" s="61"/>
      <c r="U110" s="62"/>
    </row>
    <row r="111" spans="7:21" ht="13" x14ac:dyDescent="0.3">
      <c r="G111" s="74"/>
      <c r="H111" s="59"/>
      <c r="I111" s="75"/>
      <c r="J111" s="37" t="s">
        <v>41</v>
      </c>
      <c r="K111" s="35">
        <f>PRODUCT(M66:M75)</f>
        <v>137.39615769168199</v>
      </c>
      <c r="L111" s="50">
        <f t="shared" si="20"/>
        <v>1.6360533398999719</v>
      </c>
      <c r="M111" s="68">
        <f>L111/L119</f>
        <v>9.6004727887867278E-2</v>
      </c>
      <c r="N111" s="54"/>
      <c r="P111" s="74"/>
      <c r="Q111" s="59"/>
      <c r="R111" s="59"/>
      <c r="S111" s="59"/>
      <c r="T111" s="59"/>
      <c r="U111" s="75"/>
    </row>
    <row r="112" spans="7:21" ht="13" x14ac:dyDescent="0.3">
      <c r="G112" s="74"/>
      <c r="H112" s="59"/>
      <c r="I112" s="75"/>
      <c r="J112" s="37" t="s">
        <v>42</v>
      </c>
      <c r="K112" s="50">
        <f>PRODUCT(N66:N75)</f>
        <v>104.93953600122765</v>
      </c>
      <c r="L112" s="35">
        <f t="shared" si="20"/>
        <v>1.5925530712723781</v>
      </c>
      <c r="M112" s="68">
        <f>L112/L119</f>
        <v>9.345210240140446E-2</v>
      </c>
      <c r="N112" s="54"/>
      <c r="P112" s="74"/>
      <c r="Q112" s="59"/>
      <c r="R112" s="59"/>
      <c r="S112" s="59"/>
      <c r="T112" s="59"/>
      <c r="U112" s="75"/>
    </row>
    <row r="113" spans="7:21" ht="13" x14ac:dyDescent="0.3">
      <c r="G113" s="74"/>
      <c r="H113" s="59"/>
      <c r="I113" s="75"/>
      <c r="J113" s="37" t="s">
        <v>43</v>
      </c>
      <c r="K113" s="35">
        <f>PRODUCT(O66:O75)</f>
        <v>102.1536174059088</v>
      </c>
      <c r="L113" s="35">
        <f t="shared" si="20"/>
        <v>1.5882738114889838</v>
      </c>
      <c r="M113" s="68">
        <f>L113/L119</f>
        <v>9.3200992513329917E-2</v>
      </c>
      <c r="N113" s="54"/>
      <c r="P113" s="74"/>
      <c r="Q113" s="59"/>
      <c r="R113" s="59"/>
      <c r="S113" s="59"/>
      <c r="T113" s="59"/>
      <c r="U113" s="75"/>
    </row>
    <row r="114" spans="7:21" ht="13" x14ac:dyDescent="0.3">
      <c r="G114" s="74"/>
      <c r="H114" s="59"/>
      <c r="I114" s="75"/>
      <c r="J114" s="37" t="s">
        <v>44</v>
      </c>
      <c r="K114" s="35">
        <f>PRODUCT(P66:P75)</f>
        <v>218.97577994060038</v>
      </c>
      <c r="L114" s="35">
        <f t="shared" si="20"/>
        <v>1.7141136296369068</v>
      </c>
      <c r="M114" s="68">
        <f>L114/L119</f>
        <v>0.10058535902762016</v>
      </c>
      <c r="N114" s="54"/>
      <c r="P114" s="74"/>
      <c r="Q114" s="59"/>
      <c r="R114" s="59"/>
      <c r="S114" s="59"/>
      <c r="T114" s="59"/>
      <c r="U114" s="75"/>
    </row>
    <row r="115" spans="7:21" ht="13" x14ac:dyDescent="0.3">
      <c r="G115" s="74"/>
      <c r="H115" s="59"/>
      <c r="I115" s="75"/>
      <c r="J115" s="37" t="s">
        <v>45</v>
      </c>
      <c r="K115" s="35">
        <f>PRODUCT(Q66:Q75)</f>
        <v>349.59705885701953</v>
      </c>
      <c r="L115" s="35">
        <f t="shared" si="20"/>
        <v>1.7962086232748666</v>
      </c>
      <c r="M115" s="68">
        <f>L115/L119</f>
        <v>0.105402749349167</v>
      </c>
      <c r="N115" s="54"/>
      <c r="P115" s="74"/>
      <c r="Q115" s="59"/>
      <c r="R115" s="59"/>
      <c r="S115" s="59"/>
      <c r="T115" s="59"/>
      <c r="U115" s="75"/>
    </row>
    <row r="116" spans="7:21" ht="13" x14ac:dyDescent="0.3">
      <c r="G116" s="63"/>
      <c r="H116" s="64"/>
      <c r="I116" s="65"/>
      <c r="J116" s="37" t="s">
        <v>46</v>
      </c>
      <c r="K116" s="35">
        <f>PRODUCT(R66:R75)</f>
        <v>149.0816367092238</v>
      </c>
      <c r="L116" s="35">
        <f t="shared" si="20"/>
        <v>1.6494623813409324</v>
      </c>
      <c r="M116" s="68">
        <f>L116/L119</f>
        <v>9.6791579601916672E-2</v>
      </c>
      <c r="N116" s="54"/>
      <c r="P116" s="74"/>
      <c r="Q116" s="59"/>
      <c r="R116" s="59"/>
      <c r="S116" s="59"/>
      <c r="T116" s="59"/>
      <c r="U116" s="75"/>
    </row>
    <row r="117" spans="7:21" ht="13" x14ac:dyDescent="0.3">
      <c r="J117" s="37" t="s">
        <v>47</v>
      </c>
      <c r="K117" s="35">
        <f>PRODUCT(S66:S75)</f>
        <v>96.159163882872591</v>
      </c>
      <c r="L117" s="35">
        <f t="shared" si="20"/>
        <v>1.5786980329618665</v>
      </c>
      <c r="M117" s="68">
        <f>L117/L119</f>
        <v>9.2639079286303605E-2</v>
      </c>
      <c r="N117" s="54"/>
      <c r="P117" s="63"/>
      <c r="Q117" s="64"/>
      <c r="R117" s="64"/>
      <c r="S117" s="64"/>
      <c r="T117" s="64"/>
      <c r="U117" s="65"/>
    </row>
    <row r="118" spans="7:21" ht="13" x14ac:dyDescent="0.3">
      <c r="J118" s="37" t="s">
        <v>48</v>
      </c>
      <c r="K118" s="35">
        <f>PRODUCT(T66:T75)</f>
        <v>491.53580825226965</v>
      </c>
      <c r="L118" s="35">
        <f t="shared" si="20"/>
        <v>1.858469833894641</v>
      </c>
      <c r="M118" s="68">
        <f>L118/L119</f>
        <v>0.10905627973093689</v>
      </c>
      <c r="N118" s="54"/>
    </row>
    <row r="119" spans="7:21" ht="13" x14ac:dyDescent="0.3">
      <c r="J119" s="43" t="s">
        <v>70</v>
      </c>
      <c r="K119" s="43"/>
      <c r="L119" s="43">
        <f t="shared" ref="L119:M119" si="21">SUM(L109:L118)</f>
        <v>17.041383022416028</v>
      </c>
      <c r="M119" s="81">
        <f t="shared" si="21"/>
        <v>1</v>
      </c>
      <c r="N119" s="54"/>
    </row>
  </sheetData>
  <mergeCells count="180">
    <mergeCell ref="AI53:AK53"/>
    <mergeCell ref="AI54:AK54"/>
    <mergeCell ref="AI44:AK44"/>
    <mergeCell ref="AI45:AK45"/>
    <mergeCell ref="AC41:AK42"/>
    <mergeCell ref="C30:D30"/>
    <mergeCell ref="C31:D31"/>
    <mergeCell ref="J31:W32"/>
    <mergeCell ref="C32:D32"/>
    <mergeCell ref="K33:W33"/>
    <mergeCell ref="C38:D38"/>
    <mergeCell ref="B42:C42"/>
    <mergeCell ref="AE54:AF54"/>
    <mergeCell ref="AG54:AH54"/>
    <mergeCell ref="AA45:AB45"/>
    <mergeCell ref="AA46:AB46"/>
    <mergeCell ref="AA47:AB47"/>
    <mergeCell ref="AA48:AB48"/>
    <mergeCell ref="AA49:AB49"/>
    <mergeCell ref="AA50:AB50"/>
    <mergeCell ref="AA51:AB51"/>
    <mergeCell ref="AE47:AF47"/>
    <mergeCell ref="AE48:AF48"/>
    <mergeCell ref="AG48:AH48"/>
    <mergeCell ref="B62:B63"/>
    <mergeCell ref="C33:D33"/>
    <mergeCell ref="J33:J34"/>
    <mergeCell ref="C34:D34"/>
    <mergeCell ref="H34:I41"/>
    <mergeCell ref="C35:D35"/>
    <mergeCell ref="C36:D36"/>
    <mergeCell ref="C37:D37"/>
    <mergeCell ref="G42:I42"/>
    <mergeCell ref="G43:I44"/>
    <mergeCell ref="J47:N48"/>
    <mergeCell ref="J49:J50"/>
    <mergeCell ref="K49:M49"/>
    <mergeCell ref="N49:N50"/>
    <mergeCell ref="J63:T64"/>
    <mergeCell ref="C19:D19"/>
    <mergeCell ref="C20:D20"/>
    <mergeCell ref="C21:D21"/>
    <mergeCell ref="C22:D22"/>
    <mergeCell ref="C23:D23"/>
    <mergeCell ref="J27:O28"/>
    <mergeCell ref="B27:D27"/>
    <mergeCell ref="C28:D28"/>
    <mergeCell ref="C29:D29"/>
    <mergeCell ref="M116:N116"/>
    <mergeCell ref="M117:N117"/>
    <mergeCell ref="M118:N118"/>
    <mergeCell ref="M119:N119"/>
    <mergeCell ref="M108:N108"/>
    <mergeCell ref="G109:I116"/>
    <mergeCell ref="M109:N109"/>
    <mergeCell ref="P109:U109"/>
    <mergeCell ref="M110:N110"/>
    <mergeCell ref="P110:U117"/>
    <mergeCell ref="M111:N111"/>
    <mergeCell ref="M95:N95"/>
    <mergeCell ref="M96:N96"/>
    <mergeCell ref="M97:N97"/>
    <mergeCell ref="J102:O103"/>
    <mergeCell ref="J106:N107"/>
    <mergeCell ref="M112:N112"/>
    <mergeCell ref="M113:N113"/>
    <mergeCell ref="M114:N114"/>
    <mergeCell ref="M115:N115"/>
    <mergeCell ref="M88:N88"/>
    <mergeCell ref="M89:N89"/>
    <mergeCell ref="M90:N90"/>
    <mergeCell ref="M91:N91"/>
    <mergeCell ref="G51:I58"/>
    <mergeCell ref="G66:I73"/>
    <mergeCell ref="J80:O81"/>
    <mergeCell ref="J84:N85"/>
    <mergeCell ref="M86:N86"/>
    <mergeCell ref="G87:I94"/>
    <mergeCell ref="M87:N87"/>
    <mergeCell ref="M94:N94"/>
    <mergeCell ref="M92:N92"/>
    <mergeCell ref="M93:N93"/>
    <mergeCell ref="AA52:AB52"/>
    <mergeCell ref="AA53:AB53"/>
    <mergeCell ref="AE53:AF53"/>
    <mergeCell ref="AG53:AH53"/>
    <mergeCell ref="AG52:AH52"/>
    <mergeCell ref="AA44:AB44"/>
    <mergeCell ref="AE44:AF44"/>
    <mergeCell ref="AG44:AH44"/>
    <mergeCell ref="AE45:AF45"/>
    <mergeCell ref="AG45:AH45"/>
    <mergeCell ref="AE46:AF46"/>
    <mergeCell ref="AG46:AH46"/>
    <mergeCell ref="AE50:AF50"/>
    <mergeCell ref="AG50:AH50"/>
    <mergeCell ref="AE51:AF51"/>
    <mergeCell ref="AG51:AH51"/>
    <mergeCell ref="AE52:AF52"/>
    <mergeCell ref="AG47:AH47"/>
    <mergeCell ref="AA27:AB34"/>
    <mergeCell ref="AD27:AE27"/>
    <mergeCell ref="AF27:AG27"/>
    <mergeCell ref="AD28:AE28"/>
    <mergeCell ref="AF28:AG28"/>
    <mergeCell ref="AD34:AE34"/>
    <mergeCell ref="AF34:AG34"/>
    <mergeCell ref="AD35:AE35"/>
    <mergeCell ref="AF35:AG35"/>
    <mergeCell ref="AD30:AE30"/>
    <mergeCell ref="AF30:AG30"/>
    <mergeCell ref="AD31:AE31"/>
    <mergeCell ref="AF31:AG31"/>
    <mergeCell ref="AD32:AE32"/>
    <mergeCell ref="AF32:AG32"/>
    <mergeCell ref="AD33:AE33"/>
    <mergeCell ref="AF33:AG33"/>
    <mergeCell ref="AI47:AK47"/>
    <mergeCell ref="AI48:AK48"/>
    <mergeCell ref="AI49:AK49"/>
    <mergeCell ref="AI50:AK50"/>
    <mergeCell ref="AI51:AK51"/>
    <mergeCell ref="AI52:AK52"/>
    <mergeCell ref="AD19:AE19"/>
    <mergeCell ref="AF19:AG19"/>
    <mergeCell ref="AD20:AE20"/>
    <mergeCell ref="AF20:AG20"/>
    <mergeCell ref="AD21:AE21"/>
    <mergeCell ref="AF21:AG21"/>
    <mergeCell ref="AC24:AG25"/>
    <mergeCell ref="AD29:AE29"/>
    <mergeCell ref="AF29:AG29"/>
    <mergeCell ref="AD26:AE26"/>
    <mergeCell ref="AF26:AG26"/>
    <mergeCell ref="AI46:AK46"/>
    <mergeCell ref="AD36:AE36"/>
    <mergeCell ref="AF36:AG36"/>
    <mergeCell ref="AD37:AE37"/>
    <mergeCell ref="AF37:AG37"/>
    <mergeCell ref="AE49:AF49"/>
    <mergeCell ref="AG49:AH49"/>
    <mergeCell ref="C14:D14"/>
    <mergeCell ref="C15:D15"/>
    <mergeCell ref="AD15:AE15"/>
    <mergeCell ref="AF15:AG15"/>
    <mergeCell ref="AD16:AE16"/>
    <mergeCell ref="AF16:AG16"/>
    <mergeCell ref="AD17:AE17"/>
    <mergeCell ref="AF17:AG17"/>
    <mergeCell ref="AD18:AE18"/>
    <mergeCell ref="AF18:AG18"/>
    <mergeCell ref="AD14:AE14"/>
    <mergeCell ref="AF14:AG14"/>
    <mergeCell ref="AA11:AB18"/>
    <mergeCell ref="AD11:AE11"/>
    <mergeCell ref="AF11:AG11"/>
    <mergeCell ref="AF12:AG12"/>
    <mergeCell ref="C16:D16"/>
    <mergeCell ref="C17:D17"/>
    <mergeCell ref="J10:J11"/>
    <mergeCell ref="C11:D11"/>
    <mergeCell ref="C12:D12"/>
    <mergeCell ref="H12:I19"/>
    <mergeCell ref="C13:D13"/>
    <mergeCell ref="C18:D18"/>
    <mergeCell ref="A1:G1"/>
    <mergeCell ref="J4:O5"/>
    <mergeCell ref="AC4:AH5"/>
    <mergeCell ref="B6:E7"/>
    <mergeCell ref="J8:W9"/>
    <mergeCell ref="K10:W10"/>
    <mergeCell ref="AD12:AE12"/>
    <mergeCell ref="AD13:AE13"/>
    <mergeCell ref="AF13:AG13"/>
    <mergeCell ref="AC8:AG9"/>
    <mergeCell ref="AD10:AE10"/>
    <mergeCell ref="AF10:AG10"/>
    <mergeCell ref="B9:E9"/>
    <mergeCell ref="C10:D10"/>
    <mergeCell ref="A2:G4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MIDinspace</dc:creator>
  <cp:lastModifiedBy>Nabilah Shamid</cp:lastModifiedBy>
  <dcterms:created xsi:type="dcterms:W3CDTF">2025-11-03T03:23:35Z</dcterms:created>
  <dcterms:modified xsi:type="dcterms:W3CDTF">2025-11-04T03:05:45Z</dcterms:modified>
</cp:coreProperties>
</file>